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mprovements" sheetId="2" state="visible" r:id="rId4"/>
  </sheets>
  <definedNames>
    <definedName function="false" hidden="true" localSheetId="1" name="_xlnm._FilterDatabase" vbProcedure="false">Improvements!$A$1:$J$142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<sst xmlns="http://schemas.openxmlformats.org/spreadsheetml/2006/main" count="1029" uniqueCount="371">
  <si>
    <t xml:space="preserve">datacore.com.sa — improvement register</t>
  </si>
  <si>
    <t xml:space="preserve">141 items. Filter the Improvements sheet by Impact to plan a phase.</t>
  </si>
  <si>
    <t xml:space="preserve">Basis: 'Seen' = observed in your screen recording · 'Measured' = calculated · 'Verify' = needs checking against the live code · 'Planning' = new work.</t>
  </si>
  <si>
    <t xml:space="preserve">Area</t>
  </si>
  <si>
    <t xml:space="preserve">High</t>
  </si>
  <si>
    <t xml:space="preserve">Med</t>
  </si>
  <si>
    <t xml:space="preserve">Low</t>
  </si>
  <si>
    <t xml:space="preserve">Total</t>
  </si>
  <si>
    <t xml:space="preserve">Accessibility</t>
  </si>
  <si>
    <t xml:space="preserve">Typography</t>
  </si>
  <si>
    <t xml:space="preserve">Layout</t>
  </si>
  <si>
    <t xml:space="preserve">Navigation</t>
  </si>
  <si>
    <t xml:space="preserve">Conversion</t>
  </si>
  <si>
    <t xml:space="preserve">Content</t>
  </si>
  <si>
    <t xml:space="preserve">Services</t>
  </si>
  <si>
    <t xml:space="preserve">Projects</t>
  </si>
  <si>
    <t xml:space="preserve">Contact</t>
  </si>
  <si>
    <t xml:space="preserve">Performance</t>
  </si>
  <si>
    <t xml:space="preserve">SEO</t>
  </si>
  <si>
    <t xml:space="preserve">Localisation</t>
  </si>
  <si>
    <t xml:space="preserve">Legal</t>
  </si>
  <si>
    <t xml:space="preserve">Analytics</t>
  </si>
  <si>
    <t xml:space="preserve">Suggested phasing</t>
  </si>
  <si>
    <t xml:space="preserve">Phase 1 — week 1</t>
  </si>
  <si>
    <t xml:space="preserve">Every High-impact / Small-effort item. Contrast fix, chat widget, hero rewrite, the three layout bugs, tel: links, WhatsApp.</t>
  </si>
  <si>
    <t xml:space="preserve">Phase 2 — weeks 2–5</t>
  </si>
  <si>
    <t xml:space="preserve">Typography unification, service page content rewrite, projects template and filters, performance pass, SEO foundations.</t>
  </si>
  <si>
    <t xml:space="preserve">Phase 3 — weeks 4–10</t>
  </si>
  <si>
    <t xml:space="preserve">Products catalogue and RFQ module, admin panel, Excel import.</t>
  </si>
  <si>
    <t xml:space="preserve">Phase 4 — after launch</t>
  </si>
  <si>
    <t xml:space="preserve">Arabic site, location landing pages, project photography.</t>
  </si>
  <si>
    <t xml:space="preserve">#</t>
  </si>
  <si>
    <t xml:space="preserve">Where</t>
  </si>
  <si>
    <t xml:space="preserve">What's wrong</t>
  </si>
  <si>
    <t xml:space="preserve">What to do</t>
  </si>
  <si>
    <t xml:space="preserve">Impact</t>
  </si>
  <si>
    <t xml:space="preserve">Effort</t>
  </si>
  <si>
    <t xml:space="preserve">Basis</t>
  </si>
  <si>
    <t xml:space="preserve">Owner</t>
  </si>
  <si>
    <t xml:space="preserve">Done</t>
  </si>
  <si>
    <t xml:space="preserve">Site-wide</t>
  </si>
  <si>
    <t xml:space="preserve">Brand teal #13BEA0 on white measures 2.36:1. WCAG AA needs 4.5:1 for text, 3:1 for controls.</t>
  </si>
  <si>
    <t xml:space="preserve">Introduce #07806B as the interactive teal for all text and button fills. Keep #13BEA0 for logo, icons and decorative fills only.</t>
  </si>
  <si>
    <t xml:space="preserve">S</t>
  </si>
  <si>
    <t xml:space="preserve">Measured</t>
  </si>
  <si>
    <t xml:space="preserve">Hero, all pages</t>
  </si>
  <si>
    <t xml:space="preserve">White 'GET IN TOUCH' label on the teal button is 2.36:1 — unreadable in daylight on a phone.</t>
  </si>
  <si>
    <t xml:space="preserve">Either darken the fill to #07806B and keep white text (4.87:1), or keep the bright teal and set the label to #18191E (7.44:1).</t>
  </si>
  <si>
    <t xml:space="preserve">Main nav</t>
  </si>
  <si>
    <t xml:space="preserve">Active page is signalled by teal colour alone, and that teal fails contrast.</t>
  </si>
  <si>
    <t xml:space="preserve">Add a weight change or solid underline so the active state does not depend on colour.</t>
  </si>
  <si>
    <t xml:space="preserve">Seen</t>
  </si>
  <si>
    <t xml:space="preserve">No visible keyboard focus indicator observed.</t>
  </si>
  <si>
    <t xml:space="preserve">Add a :focus-visible outline of 2px in #07806B with 2px offset on every interactive element.</t>
  </si>
  <si>
    <t xml:space="preserve">Verify</t>
  </si>
  <si>
    <t xml:space="preserve">Services mega-menu</t>
  </si>
  <si>
    <t xml:space="preserve">Menu appears to open on hover only, which excludes keyboard and touch users.</t>
  </si>
  <si>
    <t xml:space="preserve">Open on click and Enter, close on Escape, and manage focus into the panel.</t>
  </si>
  <si>
    <t xml:space="preserve">M</t>
  </si>
  <si>
    <t xml:space="preserve">Home hero</t>
  </si>
  <si>
    <t xml:space="preserve">Headline sits directly on a photograph with no scrim, so contrast depends on which image loads.</t>
  </si>
  <si>
    <t xml:space="preserve">Add a gradient overlay behind the text block so contrast holds for any hero image.</t>
  </si>
  <si>
    <t xml:space="preserve">Carousel auto-rotates with no pause control (WCAG 2.2.2).</t>
  </si>
  <si>
    <t xml:space="preserve">Remove the carousel, or add a visible pause and honour prefers-reduced-motion.</t>
  </si>
  <si>
    <t xml:space="preserve">Section headings</t>
  </si>
  <si>
    <t xml:space="preserve">Giant ghosted watermark words are real text, so screen readers announce 'SERVICE SERVICE'.</t>
  </si>
  <si>
    <t xml:space="preserve">Mark them aria-hidden, or render as a background image.</t>
  </si>
  <si>
    <t xml:space="preserve">No skip-to-content link.</t>
  </si>
  <si>
    <t xml:space="preserve">Add a visually hidden skip link as the first focusable element.</t>
  </si>
  <si>
    <t xml:space="preserve">Forms</t>
  </si>
  <si>
    <t xml:space="preserve">Fields may rely on placeholder text instead of persistent labels.</t>
  </si>
  <si>
    <t xml:space="preserve">Give every field a visible label that stays after the user types.</t>
  </si>
  <si>
    <t xml:space="preserve">Carousel controls</t>
  </si>
  <si>
    <t xml:space="preserve">Prev/next arrows are small, unlabelled and likely under the 44px minimum target.</t>
  </si>
  <si>
    <t xml:space="preserve">Add aria-labels and enlarge hit areas to 44x44px.</t>
  </si>
  <si>
    <t xml:space="preserve">Logo marquee</t>
  </si>
  <si>
    <t xml:space="preserve">Continuously auto-scrolling logo strip with no pause.</t>
  </si>
  <si>
    <t xml:space="preserve">Pause on hover and on focus, and stop entirely under prefers-reduced-motion.</t>
  </si>
  <si>
    <t xml:space="preserve">Images may be missing alt text.</t>
  </si>
  <si>
    <t xml:space="preserve">Audit every image. Descriptive alt for content images, empty alt for decorative ones.</t>
  </si>
  <si>
    <t xml:space="preserve">Layout may break at 200% browser zoom, which fixed-height hero sections usually do.</t>
  </si>
  <si>
    <t xml:space="preserve">Test at 200% and 400%; convert fixed heights to min-height.</t>
  </si>
  <si>
    <t xml:space="preserve">Chat widget</t>
  </si>
  <si>
    <t xml:space="preserve">Widget opens itself and may not be dismissible by keyboard.</t>
  </si>
  <si>
    <t xml:space="preserve">Ensure Escape closes it and focus returns to the page.</t>
  </si>
  <si>
    <t xml:space="preserve">Contact page</t>
  </si>
  <si>
    <t xml:space="preserve">Grey label text ('VISIT US AT SAUDI ARABIA') looks close to the 4.5:1 threshold.</t>
  </si>
  <si>
    <t xml:space="preserve">Measure and darken to at least #5A6169.</t>
  </si>
  <si>
    <t xml:space="preserve">Footer</t>
  </si>
  <si>
    <t xml:space="preserve">Small light text on near-black background across the whole footer.</t>
  </si>
  <si>
    <t xml:space="preserve">Raise footer body text to 15px and check every colour pair against AA.</t>
  </si>
  <si>
    <t xml:space="preserve">Heading levels may skip (h1 to h3) because headings are styled by size.</t>
  </si>
  <si>
    <t xml:space="preserve">Audit the heading outline of every template; style by class, not by tag choice.</t>
  </si>
  <si>
    <t xml:space="preserve">Two different type systems: a serif on home and about, a geometric sans on service pages. Visitors landing from search see a different company.</t>
  </si>
  <si>
    <t xml:space="preserve">Pick one system. Keep the serif for home and about as the brand voice, standardise everything below on the sans.</t>
  </si>
  <si>
    <t xml:space="preserve">All-caps with wide letterspacing across six items slows scanning.</t>
  </si>
  <si>
    <t xml:space="preserve">Move to sentence case, or cut tracking to roughly 0.02em.</t>
  </si>
  <si>
    <t xml:space="preserve">Home headings</t>
  </si>
  <si>
    <t xml:space="preserve">Headline split across two weights ('BRINGING YOUR' light / 'VISION TO LIFE' bold) with no semantic reason for the break.</t>
  </si>
  <si>
    <t xml:space="preserve">Set the whole headline in one weight, or split on a meaningful clause.</t>
  </si>
  <si>
    <t xml:space="preserve">No consistent type scale — heading sizes jump unpredictably between sections.</t>
  </si>
  <si>
    <t xml:space="preserve">Define a modular scale and apply it as tokens.</t>
  </si>
  <si>
    <t xml:space="preserve">Service pages</t>
  </si>
  <si>
    <t xml:space="preserve">Body line length runs past 90 characters on wide screens.</t>
  </si>
  <si>
    <t xml:space="preserve">Cap body measure at 70–75 characters.</t>
  </si>
  <si>
    <t xml:space="preserve">Wide display letterspacing appears to be applied at smaller sizes too, where it hurts legibility.</t>
  </si>
  <si>
    <t xml:space="preserve">Scale tracking inversely with size: loose for display, near zero for body.</t>
  </si>
  <si>
    <t xml:space="preserve">Web font loading strategy unknown; invisible text during load is likely.</t>
  </si>
  <si>
    <t xml:space="preserve">Set font-display: swap and preload the two most-used weights.</t>
  </si>
  <si>
    <t xml:space="preserve">Probably loading more font weights than are used.</t>
  </si>
  <si>
    <t xml:space="preserve">Subset to the weights actually in the design; drop the rest.</t>
  </si>
  <si>
    <t xml:space="preserve">Stats, phone numbers</t>
  </si>
  <si>
    <t xml:space="preserve">Proportional figures make numbers ragged in columns.</t>
  </si>
  <si>
    <t xml:space="preserve">Enable tabular figures (font-variant-numeric) for stats, prices and phone numbers.</t>
  </si>
  <si>
    <t xml:space="preserve">Future Arabic build</t>
  </si>
  <si>
    <t xml:space="preserve">Latin typeface has no matching Arabic companion.</t>
  </si>
  <si>
    <t xml:space="preserve">Choose a family with a real Arabic cut — IBM Plex Sans Arabic, Cairo or Noto Kufi Arabic.</t>
  </si>
  <si>
    <t xml:space="preserve">Planning</t>
  </si>
  <si>
    <t xml:space="preserve">Home — Proven Expertise</t>
  </si>
  <si>
    <t xml:space="preserve">Roughly half a viewport of empty space inside a bordered box before the stats appear.</t>
  </si>
  <si>
    <t xml:space="preserve">Remove the dead space and bring the stats up next to the heading.</t>
  </si>
  <si>
    <t xml:space="preserve">Access control page</t>
  </si>
  <si>
    <t xml:space="preserve">Sticky header overlaps the hero and clips the 'Request a consultation' button in half.</t>
  </si>
  <si>
    <t xml:space="preserve">Fix the z-index and add scroll-padding-top equal to the header height.</t>
  </si>
  <si>
    <t xml:space="preserve">Google map bleeds to the far left viewport edge while every other element is inset ~92px.</t>
  </si>
  <si>
    <t xml:space="preserve">Bring the map inside the container, or make the full-bleed treatment deliberate and symmetrical.</t>
  </si>
  <si>
    <t xml:space="preserve">Content max-width and side gutters vary between sections.</t>
  </si>
  <si>
    <t xml:space="preserve">Define one container width and one gutter scale; apply everywhere.</t>
  </si>
  <si>
    <t xml:space="preserve">Section padding is inconsistent, so vertical rhythm is uneven when scrolling.</t>
  </si>
  <si>
    <t xml:space="preserve">Standardise on a spacing scale of three or four section-padding values.</t>
  </si>
  <si>
    <t xml:space="preserve">Home</t>
  </si>
  <si>
    <t xml:space="preserve">Ghosted watermark words are cropped by the viewport edge, reading as a rendering fault.</t>
  </si>
  <si>
    <t xml:space="preserve">Contain them within the grid, or remove the device.</t>
  </si>
  <si>
    <t xml:space="preserve">Brand logos appear twice — 'Brands That Trust Us' and 'Trusted Alliances' — with overlap between them.</t>
  </si>
  <si>
    <t xml:space="preserve">Merge into a single logo wall, sorted, with equal optical sizing.</t>
  </si>
  <si>
    <t xml:space="preserve">Home — Expertise</t>
  </si>
  <si>
    <t xml:space="preserve">A border box wraps a section for no structural reason.</t>
  </si>
  <si>
    <t xml:space="preserve">Remove the border or give it a purpose.</t>
  </si>
  <si>
    <t xml:space="preserve">Home — services grid</t>
  </si>
  <si>
    <t xml:space="preserve">Two-up card grid leaves large empty margins on desktop.</t>
  </si>
  <si>
    <t xml:space="preserve">Move to three-up above 1200px.</t>
  </si>
  <si>
    <t xml:space="preserve">Home — success stories</t>
  </si>
  <si>
    <t xml:space="preserve">Cards end at unequal heights.</t>
  </si>
  <si>
    <t xml:space="preserve">Equalise card heights and truncate excerpts to a fixed line count.</t>
  </si>
  <si>
    <t xml:space="preserve">Blog cards</t>
  </si>
  <si>
    <t xml:space="preserve">Thumbnail aspect ratios vary between cards.</t>
  </si>
  <si>
    <t xml:space="preserve">Fix one aspect ratio and use object-fit: cover.</t>
  </si>
  <si>
    <t xml:space="preserve">Three competing calls to action stack in the bottom-right: chat bubble, floating side tab, and the CTA band.</t>
  </si>
  <si>
    <t xml:space="preserve">Keep one. The chat bubble is the natural survivor.</t>
  </si>
  <si>
    <t xml:space="preserve">Service &amp; project pages</t>
  </si>
  <si>
    <t xml:space="preserve">No breadcrumbs, so deep pages have no sense of place.</t>
  </si>
  <si>
    <t xml:space="preserve">Add breadcrumbs to all pages below the top level.</t>
  </si>
  <si>
    <t xml:space="preserve">Mobile</t>
  </si>
  <si>
    <t xml:space="preserve">Mega-menu behaviour on mobile is unverified; a flat list of ten items becomes a long scroll.</t>
  </si>
  <si>
    <t xml:space="preserve">Collapse into grouped accordions on mobile.</t>
  </si>
  <si>
    <t xml:space="preserve">Dense, dark, with five columns of small links.</t>
  </si>
  <si>
    <t xml:space="preserve">Increase spacing and text size; group by user intent.</t>
  </si>
  <si>
    <t xml:space="preserve">Services menu</t>
  </si>
  <si>
    <t xml:space="preserve">Around ten services sit in one flat list.</t>
  </si>
  <si>
    <t xml:space="preserve">Group into disciplines: ICT &amp; Networks, Security, Audio Visual, Datacentre, Life Safety.</t>
  </si>
  <si>
    <t xml:space="preserve">No site search anywhere.</t>
  </si>
  <si>
    <t xml:space="preserve">Add search — essential once a 1000-SKU catalogue exists.</t>
  </si>
  <si>
    <t xml:space="preserve">Products is missing.</t>
  </si>
  <si>
    <t xml:space="preserve">Add Products as a top-level item beside Services.</t>
  </si>
  <si>
    <t xml:space="preserve">Footer / nav</t>
  </si>
  <si>
    <t xml:space="preserve">Blog is called 'Technology Insights' in one place and 'Blog' in another.</t>
  </si>
  <si>
    <t xml:space="preserve">Pick one name and use it everywhere.</t>
  </si>
  <si>
    <t xml:space="preserve">Careers</t>
  </si>
  <si>
    <t xml:space="preserve">Careers appears only in the footer, despite an active careers email.</t>
  </si>
  <si>
    <t xml:space="preserve">Promote to the About menu with real vacancies.</t>
  </si>
  <si>
    <t xml:space="preserve">Language switcher</t>
  </si>
  <si>
    <t xml:space="preserve">An ENGLISH dropdown with a chevron implies other languages that do not exist.</t>
  </si>
  <si>
    <t xml:space="preserve">Ship Arabic, or remove the chevron until it does.</t>
  </si>
  <si>
    <t xml:space="preserve">No sitemap page for humans.</t>
  </si>
  <si>
    <t xml:space="preserve">Add one; it also helps crawlers reach deep project pages.</t>
  </si>
  <si>
    <t xml:space="preserve">Error handling</t>
  </si>
  <si>
    <t xml:space="preserve">Unknown whether a branded 404 exists.</t>
  </si>
  <si>
    <t xml:space="preserve">Build a 404 that offers search, services and contact.</t>
  </si>
  <si>
    <t xml:space="preserve">No links between related services.</t>
  </si>
  <si>
    <t xml:space="preserve">Add a related-services strip to each service page.</t>
  </si>
  <si>
    <t xml:space="preserve">Projects, services and (soon) products are not cross-linked.</t>
  </si>
  <si>
    <t xml:space="preserve">Link each project to the services delivered and the equipment used.</t>
  </si>
  <si>
    <t xml:space="preserve">Two-slide carousel — the second slide is seen by almost nobody.</t>
  </si>
  <si>
    <t xml:space="preserve">Replace with a single fixed hero carrying your strongest message.</t>
  </si>
  <si>
    <t xml:space="preserve">Copy says 'We start wherever you are and work with you to understand your needs' — true of any business.</t>
  </si>
  <si>
    <t xml:space="preserve">Rewrite to name the disciplines, the market and the track record.</t>
  </si>
  <si>
    <t xml:space="preserve">'GET IN TOUCH' does not say what happens next.</t>
  </si>
  <si>
    <t xml:space="preserve">Use 'Request a consultation' or 'Get a quote'.</t>
  </si>
  <si>
    <t xml:space="preserve">Only one call to action, aimed at people already ready to talk.</t>
  </si>
  <si>
    <t xml:space="preserve">Add a secondary low-commitment CTA: 'See our projects'.</t>
  </si>
  <si>
    <t xml:space="preserve">Chat widget auto-opens on load and covers the hero CTA on every page.</t>
  </si>
  <si>
    <t xml:space="preserve">Start collapsed; open only after scroll or on click.</t>
  </si>
  <si>
    <t xml:space="preserve">Stats (1000+, 100+, 03, 15+) sit far down the page.</t>
  </si>
  <si>
    <t xml:space="preserve">Move them into or directly below the hero.</t>
  </si>
  <si>
    <t xml:space="preserve">Home stats</t>
  </si>
  <si>
    <t xml:space="preserve">'03' is meaningless without a label.</t>
  </si>
  <si>
    <t xml:space="preserve">Label every figure — '3 countries', '15+ years'.</t>
  </si>
  <si>
    <t xml:space="preserve">Nothing tells a first-time visitor what you do until several screens down.</t>
  </si>
  <si>
    <t xml:space="preserve">Add a five-discipline strip immediately below the hero.</t>
  </si>
  <si>
    <t xml:space="preserve">No named case study with a measurable result.</t>
  </si>
  <si>
    <t xml:space="preserve">Feature one project with a client, a scope and an outcome.</t>
  </si>
  <si>
    <t xml:space="preserve">The identical 'Speak with an expert' band appears on every page — one generic funnel.</t>
  </si>
  <si>
    <t xml:space="preserve">Vary the offer by context: request a site survey on service pages, request a quote on products.</t>
  </si>
  <si>
    <t xml:space="preserve">'Download brochure' is untracked and ungated.</t>
  </si>
  <si>
    <t xml:space="preserve">Track it as a conversion; consider a light email gate.</t>
  </si>
  <si>
    <t xml:space="preserve">No lead magnet with genuine professional value.</t>
  </si>
  <si>
    <t xml:space="preserve">Publish an ELV design checklist or a Cat6A vs fibre selection guide.</t>
  </si>
  <si>
    <t xml:space="preserve">Above the fold</t>
  </si>
  <si>
    <t xml:space="preserve">No trust signals visible before scrolling.</t>
  </si>
  <si>
    <t xml:space="preserve">Add years in business, partner tiers and certifications to the hero area.</t>
  </si>
  <si>
    <t xml:space="preserve">Client logo wall runs as an auto-scrolling marquee, so no logo is on screen long.</t>
  </si>
  <si>
    <t xml:space="preserve">Make it a static grid.</t>
  </si>
  <si>
    <t xml:space="preserve">All service pages</t>
  </si>
  <si>
    <t xml:space="preserve">Copy is interchangeable: 'secure and scalable systems that adapt to your business requirements'.</t>
  </si>
  <si>
    <t xml:space="preserve">Rewrite each page around what is technically distinct about that discipline.</t>
  </si>
  <si>
    <t xml:space="preserve">L</t>
  </si>
  <si>
    <t xml:space="preserve">No standards referenced anywhere.</t>
  </si>
  <si>
    <t xml:space="preserve">Name EN 54-16 and EN 54-24 on PA and voice alarm, SASO, Saudi Building Code, ISO 27001.</t>
  </si>
  <si>
    <t xml:space="preserve">Manufacturer relationships are shown as logos with no context.</t>
  </si>
  <si>
    <t xml:space="preserve">State the partner tier and what it authorises you to do.</t>
  </si>
  <si>
    <t xml:space="preserve">No description of scope boundaries.</t>
  </si>
  <si>
    <t xml:space="preserve">Spell out design, supply, installation, commissioning, training and SLA.</t>
  </si>
  <si>
    <t xml:space="preserve">No indication of project size you handle.</t>
  </si>
  <si>
    <t xml:space="preserve">Give typical ranges — device counts, floor areas, timelines.</t>
  </si>
  <si>
    <t xml:space="preserve">No FAQs.</t>
  </si>
  <si>
    <t xml:space="preserve">Add five to eight real procurement questions per service.</t>
  </si>
  <si>
    <t xml:space="preserve">About</t>
  </si>
  <si>
    <t xml:space="preserve">No named people anywhere on the site.</t>
  </si>
  <si>
    <t xml:space="preserve">Add a leadership section with names, roles and photographs.</t>
  </si>
  <si>
    <t xml:space="preserve">'How we get started' reads as generic process language.</t>
  </si>
  <si>
    <t xml:space="preserve">Describe your actual stages, with what the client receives at each.</t>
  </si>
  <si>
    <t xml:space="preserve">Blog</t>
  </si>
  <si>
    <t xml:space="preserve">Posts are general explainers ('What is a public address system?').</t>
  </si>
  <si>
    <t xml:space="preserve">Write from delivered projects — the technical decisions and why.</t>
  </si>
  <si>
    <t xml:space="preserve">No visible author or date.</t>
  </si>
  <si>
    <t xml:space="preserve">Add both; undated technical content ages badly and Google discounts it.</t>
  </si>
  <si>
    <t xml:space="preserve">No downloadable line card of brands carried.</t>
  </si>
  <si>
    <t xml:space="preserve">Publish one as a PDF — consultants ask for it constantly.</t>
  </si>
  <si>
    <t xml:space="preserve">No Vision 2030 or localisation framing for government-facing work.</t>
  </si>
  <si>
    <t xml:space="preserve">Add a short section on local content and Vision 2030 alignment.</t>
  </si>
  <si>
    <t xml:space="preserve">Company profile PDF not offered.</t>
  </si>
  <si>
    <t xml:space="preserve">Publish a current company profile for tender submissions.</t>
  </si>
  <si>
    <t xml:space="preserve">Nothing distinguishes you from any other integrator in Riyadh.</t>
  </si>
  <si>
    <t xml:space="preserve">Decide the one claim you own and lead with it everywhere.</t>
  </si>
  <si>
    <t xml:space="preserve">Hero imagery is generic stock.</t>
  </si>
  <si>
    <t xml:space="preserve">Use photographs from your own installations.</t>
  </si>
  <si>
    <t xml:space="preserve">No link to relevant products.</t>
  </si>
  <si>
    <t xml:space="preserve">Add a related-products strip once the catalogue is live.</t>
  </si>
  <si>
    <t xml:space="preserve">No capability or specification table.</t>
  </si>
  <si>
    <t xml:space="preserve">Add a table of systems, scale and standards covered.</t>
  </si>
  <si>
    <t xml:space="preserve">No project examples on the page.</t>
  </si>
  <si>
    <t xml:space="preserve">Show two or three relevant projects per service.</t>
  </si>
  <si>
    <t xml:space="preserve">Enquiry goes to the same generic form.</t>
  </si>
  <si>
    <t xml:space="preserve">Pre-fill the form with the service name so sales knows the context.</t>
  </si>
  <si>
    <t xml:space="preserve">Long service pages</t>
  </si>
  <si>
    <t xml:space="preserve">No in-page navigation.</t>
  </si>
  <si>
    <t xml:space="preserve">Add a sticky anchor nav for sub-sections.</t>
  </si>
  <si>
    <t xml:space="preserve">Projects page</t>
  </si>
  <si>
    <t xml:space="preserve">Filter is a single 'All Services' dropdown.</t>
  </si>
  <si>
    <t xml:space="preserve">Add filters for sector, service, country and year.</t>
  </si>
  <si>
    <t xml:space="preserve">Project detail</t>
  </si>
  <si>
    <t xml:space="preserve">No consistent template across case studies.</t>
  </si>
  <si>
    <t xml:space="preserve">Standardise: client, sector, scope, systems, equipment, duration, outcome.</t>
  </si>
  <si>
    <t xml:space="preserve">No equipment list.</t>
  </si>
  <si>
    <t xml:space="preserve">List the systems deployed and link each to the catalogue.</t>
  </si>
  <si>
    <t xml:space="preserve">No client quotes.</t>
  </si>
  <si>
    <t xml:space="preserve">Get a short testimonial on every project where the client permits it.</t>
  </si>
  <si>
    <t xml:space="preserve">Photography is inconsistent in framing and colour.</t>
  </si>
  <si>
    <t xml:space="preserve">Set a shooting standard and reshoot the flagship projects.</t>
  </si>
  <si>
    <t xml:space="preserve">No sense of volume by sector.</t>
  </si>
  <si>
    <t xml:space="preserve">Show counts by sector — banking, healthcare, education, government.</t>
  </si>
  <si>
    <t xml:space="preserve">No case study is downloadable.</t>
  </si>
  <si>
    <t xml:space="preserve">Offer a one-page PDF per project for tender packs.</t>
  </si>
  <si>
    <t xml:space="preserve">One form for all enquiry types.</t>
  </si>
  <si>
    <t xml:space="preserve">Split into sales, careers and support, each routed to the right inbox.</t>
  </si>
  <si>
    <t xml:space="preserve">No WhatsApp contact, which is the default business channel in the Kingdom.</t>
  </si>
  <si>
    <t xml:space="preserve">Add a WhatsApp Business link alongside the phone numbers.</t>
  </si>
  <si>
    <t xml:space="preserve">No office hours or holiday notice.</t>
  </si>
  <si>
    <t xml:space="preserve">Publish hours and note Eid and national holiday closures.</t>
  </si>
  <si>
    <t xml:space="preserve">Phone numbers are plain text.</t>
  </si>
  <si>
    <t xml:space="preserve">Make them tel: links so mobile users can tap to call.</t>
  </si>
  <si>
    <t xml:space="preserve">Contact form</t>
  </si>
  <si>
    <t xml:space="preserve">No reference number on submission.</t>
  </si>
  <si>
    <t xml:space="preserve">Return a reference number and send an acknowledgement email.</t>
  </si>
  <si>
    <t xml:space="preserve">Spam protection unknown.</t>
  </si>
  <si>
    <t xml:space="preserve">Use a honeypot and rate limiting rather than a visible captcha.</t>
  </si>
  <si>
    <t xml:space="preserve">Google Business Profiles not linked.</t>
  </si>
  <si>
    <t xml:space="preserve">Link both profiles and keep hours in sync.</t>
  </si>
  <si>
    <t xml:space="preserve">Map is a heavy embed loaded immediately.</t>
  </si>
  <si>
    <t xml:space="preserve">Load a static image and swap to the interactive map on click.</t>
  </si>
  <si>
    <t xml:space="preserve">Large full-bleed photographs at roughly 1900px, format unknown.</t>
  </si>
  <si>
    <t xml:space="preserve">Serve AVIF with WebP fallback and a responsive srcset.</t>
  </si>
  <si>
    <t xml:space="preserve">Below-fold images likely load eagerly.</t>
  </si>
  <si>
    <t xml:space="preserve">Add loading=lazy everywhere except the hero.</t>
  </si>
  <si>
    <t xml:space="preserve">Hero image is the LCP element and is probably not preloaded.</t>
  </si>
  <si>
    <t xml:space="preserve">Preload it and mark it fetchpriority=high.</t>
  </si>
  <si>
    <t xml:space="preserve">Third-party chat script loads on every page at first paint.</t>
  </si>
  <si>
    <t xml:space="preserve">Defer until scroll or interaction.</t>
  </si>
  <si>
    <t xml:space="preserve">Images may lack explicit dimensions, causing layout shift.</t>
  </si>
  <si>
    <t xml:space="preserve">Set width and height on every image.</t>
  </si>
  <si>
    <t xml:space="preserve">Continuously animating logo marquee costs main-thread time on every page.</t>
  </si>
  <si>
    <t xml:space="preserve">Use a static grid, or animate with transform only.</t>
  </si>
  <si>
    <t xml:space="preserve">Server</t>
  </si>
  <si>
    <t xml:space="preserve">Compression and cache headers unverified.</t>
  </si>
  <si>
    <t xml:space="preserve">Enable Brotli and set long cache lifetimes on static assets.</t>
  </si>
  <si>
    <t xml:space="preserve">Origin location unknown for a Gulf audience.</t>
  </si>
  <si>
    <t xml:space="preserve">Use a CDN with a Middle East point of presence.</t>
  </si>
  <si>
    <t xml:space="preserve">No performance budget in place.</t>
  </si>
  <si>
    <t xml:space="preserve">Target LCP under 2.5s and CLS under 0.1 on 4G.</t>
  </si>
  <si>
    <t xml:space="preserve">Third-party script inventory unknown.</t>
  </si>
  <si>
    <t xml:space="preserve">Audit every tag; remove anything unused.</t>
  </si>
  <si>
    <t xml:space="preserve">Products module</t>
  </si>
  <si>
    <t xml:space="preserve">1000+ SKUs will make naive queries slow.</t>
  </si>
  <si>
    <t xml:space="preserve">Index the filter columns and paginate server-side from day one.</t>
  </si>
  <si>
    <t xml:space="preserve">Title tags and meta descriptions unverified and likely templated.</t>
  </si>
  <si>
    <t xml:space="preserve">Write unique ones for every page, with the city where relevant.</t>
  </si>
  <si>
    <t xml:space="preserve">No structured data observed.</t>
  </si>
  <si>
    <t xml:space="preserve">Add Organization and LocalBusiness schema for all three offices.</t>
  </si>
  <si>
    <t xml:space="preserve">No Service schema.</t>
  </si>
  <si>
    <t xml:space="preserve">Add Service schema with areaServed.</t>
  </si>
  <si>
    <t xml:space="preserve">No location-specific landing pages.</t>
  </si>
  <si>
    <t xml:space="preserve">Build pages for Riyadh, Jeddah, Dammam and Dubai per major service.</t>
  </si>
  <si>
    <t xml:space="preserve">Content targets category terms rather than buying terms.</t>
  </si>
  <si>
    <t xml:space="preserve">Target commercial intent: 'access control system installation Riyadh'.</t>
  </si>
  <si>
    <t xml:space="preserve">Sitemap and robots.txt unverified.</t>
  </si>
  <si>
    <t xml:space="preserve">Publish an XML sitemap and check robots.txt is not blocking assets.</t>
  </si>
  <si>
    <t xml:space="preserve">Canonical tags unverified.</t>
  </si>
  <si>
    <t xml:space="preserve">Add self-referencing canonicals; critical once filtered product URLs exist.</t>
  </si>
  <si>
    <t xml:space="preserve">Open Graph and Twitter card tags unverified.</t>
  </si>
  <si>
    <t xml:space="preserve">Add them so shared links render properly on LinkedIn and WhatsApp.</t>
  </si>
  <si>
    <t xml:space="preserve">No FAQ or Article schema.</t>
  </si>
  <si>
    <t xml:space="preserve">Add Article schema to posts and FAQPage where FAQs are added.</t>
  </si>
  <si>
    <t xml:space="preserve">Catalogue pages need their own SEO treatment.</t>
  </si>
  <si>
    <t xml:space="preserve">Add Product schema, unique titles per SKU, and noindex on filtered permutations.</t>
  </si>
  <si>
    <t xml:space="preserve">Search Console coverage unknown.</t>
  </si>
  <si>
    <t xml:space="preserve">Verify the property and monitor coverage and Core Web Vitals.</t>
  </si>
  <si>
    <t xml:space="preserve">No Arabic version despite a Riyadh headquarters and government-facing work.</t>
  </si>
  <si>
    <t xml:space="preserve">Build a full Arabic site, not a translated widget.</t>
  </si>
  <si>
    <t xml:space="preserve">Layout uses physical CSS properties, so RTL will require a stylesheet rewrite.</t>
  </si>
  <si>
    <t xml:space="preserve">Convert to logical properties now, before the Arabic build.</t>
  </si>
  <si>
    <t xml:space="preserve">No hreflang.</t>
  </si>
  <si>
    <t xml:space="preserve">Add hreflang pairs for ar-SA and en-SA.</t>
  </si>
  <si>
    <t xml:space="preserve">Arabic needs different line-height and size to read comfortably at the same optical scale.</t>
  </si>
  <si>
    <t xml:space="preserve">Set separate typographic tokens for the Arabic build.</t>
  </si>
  <si>
    <t xml:space="preserve">Machine translation will read badly to a Saudi procurement audience.</t>
  </si>
  <si>
    <t xml:space="preserve">Have the Arabic transcreated by someone who knows the sector vocabulary.</t>
  </si>
  <si>
    <t xml:space="preserve">Logo mark must not be mirrored when the layout flips.</t>
  </si>
  <si>
    <t xml:space="preserve">Lock the mark; mirror only the layout.</t>
  </si>
  <si>
    <t xml:space="preserve">Product names need Arabic from the first import, not retrofitted.</t>
  </si>
  <si>
    <t xml:space="preserve">Arabic name and description columns are already in the import template.</t>
  </si>
  <si>
    <t xml:space="preserve">Commercial Registration and VAT numbers are not displayed.</t>
  </si>
  <si>
    <t xml:space="preserve">Publish CR and VAT numbers in the footer as required for a Saudi commercial site.</t>
  </si>
  <si>
    <t xml:space="preserve">Privacy policy</t>
  </si>
  <si>
    <t xml:space="preserve">Policy predates PDPL in all likelihood.</t>
  </si>
  <si>
    <t xml:space="preserve">Update for Saudi PDPL: lawful basis, retention, data subject rights, contact.</t>
  </si>
  <si>
    <t xml:space="preserve">No cookie consent observed.</t>
  </si>
  <si>
    <t xml:space="preserve">Add consent covering analytics and the chat widget.</t>
  </si>
  <si>
    <t xml:space="preserve">Certifications not displayed.</t>
  </si>
  <si>
    <t xml:space="preserve">Show ISO certificates and manufacturer accreditations with expiry dates.</t>
  </si>
  <si>
    <t xml:space="preserve">RFQ collects personal and company data.</t>
  </si>
  <si>
    <t xml:space="preserve">Add a purpose statement and retention policy to the RFQ form.</t>
  </si>
  <si>
    <t xml:space="preserve">Conversion tracking unverified.</t>
  </si>
  <si>
    <t xml:space="preserve">Set up GA4 with events on every CTA, form submission and brochure download.</t>
  </si>
  <si>
    <t xml:space="preserve">No qualitative data on where visitors stall.</t>
  </si>
  <si>
    <t xml:space="preserve">Add a heatmap and session recording tool for one month.</t>
  </si>
  <si>
    <t xml:space="preserve">Abandonment is invisible.</t>
  </si>
  <si>
    <t xml:space="preserve">Track field-level abandonment on the contact and RFQ forms.</t>
  </si>
  <si>
    <t xml:space="preserve">No way to know which SKUs generate demand.</t>
  </si>
  <si>
    <t xml:space="preserve">Log catalogue searches with no results — that is your stocking gap list.</t>
  </si>
  <si>
    <t xml:space="preserve">No baseline before the redesign.</t>
  </si>
  <si>
    <t xml:space="preserve">Capture four weeks of baseline metrics before shipping changes.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</si>
</sst>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18191E"/>
      <name val="Arial"/>
      <family val="0"/>
      <charset val="1"/>
    </font>
    <font>
      <sz val="10"/>
      <color rgb="FF5A616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18191E"/>
      <name val="Arial"/>
      <family val="0"/>
      <charset val="1"/>
    </font>
    <font>
      <b val="true"/>
      <sz val="10"/>
      <color rgb="FF07806B"/>
      <name val="Arial"/>
      <family val="0"/>
      <charset val="1"/>
    </font>
    <font>
      <sz val="9"/>
      <color rgb="FF8A9299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color rgb="FF9A6212"/>
      <name val="Arial"/>
      <family val="0"/>
      <charset val="1"/>
    </font>
    <font>
      <b val="true"/>
      <sz val="10"/>
      <color rgb="FF1E7A4C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8191E"/>
        <bgColor rgb="FF000000"/>
      </patternFill>
    </fill>
    <fill>
      <patternFill patternType="solid">
        <fgColor rgb="FFE8F6F3"/>
        <bgColor rgb="FFE1E7E5"/>
      </patternFill>
    </fill>
    <fill>
      <patternFill patternType="solid">
        <fgColor rgb="FFFFF2CC"/>
        <bgColor rgb="FFE8F6F3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1E7E5"/>
      </left>
      <right style="thin">
        <color rgb="FFE1E7E5"/>
      </right>
      <top style="thin">
        <color rgb="FFE1E7E5"/>
      </top>
      <bottom style="thin">
        <color rgb="FFE1E7E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8191E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8A9299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E7A4C"/>
          <bgColor rgb="FF000000"/>
        </patternFill>
      </fill>
    </dxf>
    <dxf>
      <fill>
        <patternFill patternType="solid">
          <fgColor rgb="FF9A6212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9A6212"/>
      <rgbColor rgb="FF800080"/>
      <rgbColor rgb="FF07806B"/>
      <rgbColor rgb="FFC0C0C0"/>
      <rgbColor rgb="FF808080"/>
      <rgbColor rgb="FF9999FF"/>
      <rgbColor rgb="FF993366"/>
      <rgbColor rgb="FFFFF2CC"/>
      <rgbColor rgb="FFE8F6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1E7A4C"/>
      <rgbColor rgb="FF0000FF"/>
      <rgbColor rgb="FF00CCFF"/>
      <rgbColor rgb="FFCCFFFF"/>
      <rgbColor rgb="FFE1E7E5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169"/>
      <rgbColor rgb="FF8A9299"/>
      <rgbColor rgb="FF003366"/>
      <rgbColor rgb="FF339966"/>
      <rgbColor rgb="FF003300"/>
      <rgbColor rgb="FF333300"/>
      <rgbColor rgb="FFC0392B"/>
      <rgbColor rgb="FF993366"/>
      <rgbColor rgb="FF333399"/>
      <rgbColor rgb="FF1819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24"/>
    <col collapsed="false" customWidth="true" hidden="false" outlineLevel="0" max="6" min="3" style="0" width="13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  <c r="C6" s="3" t="s">
        <v>4</v>
      </c>
      <c r="D6" s="3" t="s">
        <v>5</v>
      </c>
      <c r="E6" s="3" t="s">
        <v>6</v>
      </c>
      <c r="F6" s="3" t="s">
        <v>7</v>
      </c>
    </row>
    <row r="7" customFormat="false" ht="15" hidden="false" customHeight="false" outlineLevel="0" collapsed="false">
      <c r="B7" s="4" t="s">
        <v>8</v>
      </c>
      <c r="C7" s="4" t="n">
        <f aca="false">COUNTIFS(Improvements!$B$2:$B$142,$B7,Improvements!$F$2:$F$142,C$6)</f>
        <v>6</v>
      </c>
      <c r="D7" s="4" t="n">
        <f aca="false">COUNTIFS(Improvements!$B$2:$B$142,$B7,Improvements!$F$2:$F$142,D$6)</f>
        <v>11</v>
      </c>
      <c r="E7" s="4" t="n">
        <f aca="false">COUNTIFS(Improvements!$B$2:$B$142,$B7,Improvements!$F$2:$F$142,E$6)</f>
        <v>1</v>
      </c>
      <c r="F7" s="5" t="n">
        <f aca="false">SUM(C7:E7)</f>
        <v>18</v>
      </c>
    </row>
    <row r="8" customFormat="false" ht="15" hidden="false" customHeight="false" outlineLevel="0" collapsed="false">
      <c r="B8" s="4" t="s">
        <v>9</v>
      </c>
      <c r="C8" s="4" t="n">
        <f aca="false">COUNTIFS(Improvements!$B$2:$B$142,$B8,Improvements!$F$2:$F$142,C$6)</f>
        <v>1</v>
      </c>
      <c r="D8" s="4" t="n">
        <f aca="false">COUNTIFS(Improvements!$B$2:$B$142,$B8,Improvements!$F$2:$F$142,D$6)</f>
        <v>6</v>
      </c>
      <c r="E8" s="4" t="n">
        <f aca="false">COUNTIFS(Improvements!$B$2:$B$142,$B8,Improvements!$F$2:$F$142,E$6)</f>
        <v>3</v>
      </c>
      <c r="F8" s="5" t="n">
        <f aca="false">SUM(C8:E8)</f>
        <v>10</v>
      </c>
    </row>
    <row r="9" customFormat="false" ht="15" hidden="false" customHeight="false" outlineLevel="0" collapsed="false">
      <c r="B9" s="4" t="s">
        <v>10</v>
      </c>
      <c r="C9" s="4" t="n">
        <f aca="false">COUNTIFS(Improvements!$B$2:$B$142,$B9,Improvements!$F$2:$F$142,C$6)</f>
        <v>3</v>
      </c>
      <c r="D9" s="4" t="n">
        <f aca="false">COUNTIFS(Improvements!$B$2:$B$142,$B9,Improvements!$F$2:$F$142,D$6)</f>
        <v>8</v>
      </c>
      <c r="E9" s="4" t="n">
        <f aca="false">COUNTIFS(Improvements!$B$2:$B$142,$B9,Improvements!$F$2:$F$142,E$6)</f>
        <v>4</v>
      </c>
      <c r="F9" s="5" t="n">
        <f aca="false">SUM(C9:E9)</f>
        <v>15</v>
      </c>
    </row>
    <row r="10" customFormat="false" ht="15" hidden="false" customHeight="false" outlineLevel="0" collapsed="false">
      <c r="B10" s="4" t="s">
        <v>11</v>
      </c>
      <c r="C10" s="4" t="n">
        <f aca="false">COUNTIFS(Improvements!$B$2:$B$142,$B10,Improvements!$F$2:$F$142,C$6)</f>
        <v>3</v>
      </c>
      <c r="D10" s="4" t="n">
        <f aca="false">COUNTIFS(Improvements!$B$2:$B$142,$B10,Improvements!$F$2:$F$142,D$6)</f>
        <v>4</v>
      </c>
      <c r="E10" s="4" t="n">
        <f aca="false">COUNTIFS(Improvements!$B$2:$B$142,$B10,Improvements!$F$2:$F$142,E$6)</f>
        <v>3</v>
      </c>
      <c r="F10" s="5" t="n">
        <f aca="false">SUM(C10:E10)</f>
        <v>10</v>
      </c>
    </row>
    <row r="11" customFormat="false" ht="15" hidden="false" customHeight="false" outlineLevel="0" collapsed="false">
      <c r="B11" s="4" t="s">
        <v>12</v>
      </c>
      <c r="C11" s="4" t="n">
        <f aca="false">COUNTIFS(Improvements!$B$2:$B$142,$B11,Improvements!$F$2:$F$142,C$6)</f>
        <v>6</v>
      </c>
      <c r="D11" s="4" t="n">
        <f aca="false">COUNTIFS(Improvements!$B$2:$B$142,$B11,Improvements!$F$2:$F$142,D$6)</f>
        <v>7</v>
      </c>
      <c r="E11" s="4" t="n">
        <f aca="false">COUNTIFS(Improvements!$B$2:$B$142,$B11,Improvements!$F$2:$F$142,E$6)</f>
        <v>1</v>
      </c>
      <c r="F11" s="5" t="n">
        <f aca="false">SUM(C11:E11)</f>
        <v>14</v>
      </c>
    </row>
    <row r="12" customFormat="false" ht="15" hidden="false" customHeight="false" outlineLevel="0" collapsed="false">
      <c r="B12" s="4" t="s">
        <v>13</v>
      </c>
      <c r="C12" s="4" t="n">
        <f aca="false">COUNTIFS(Improvements!$B$2:$B$142,$B12,Improvements!$F$2:$F$142,C$6)</f>
        <v>5</v>
      </c>
      <c r="D12" s="4" t="n">
        <f aca="false">COUNTIFS(Improvements!$B$2:$B$142,$B12,Improvements!$F$2:$F$142,D$6)</f>
        <v>8</v>
      </c>
      <c r="E12" s="4" t="n">
        <f aca="false">COUNTIFS(Improvements!$B$2:$B$142,$B12,Improvements!$F$2:$F$142,E$6)</f>
        <v>1</v>
      </c>
      <c r="F12" s="5" t="n">
        <f aca="false">SUM(C12:E12)</f>
        <v>14</v>
      </c>
    </row>
    <row r="13" customFormat="false" ht="15" hidden="false" customHeight="false" outlineLevel="0" collapsed="false">
      <c r="B13" s="4" t="s">
        <v>14</v>
      </c>
      <c r="C13" s="4" t="n">
        <f aca="false">COUNTIFS(Improvements!$B$2:$B$142,$B13,Improvements!$F$2:$F$142,C$6)</f>
        <v>1</v>
      </c>
      <c r="D13" s="4" t="n">
        <f aca="false">COUNTIFS(Improvements!$B$2:$B$142,$B13,Improvements!$F$2:$F$142,D$6)</f>
        <v>4</v>
      </c>
      <c r="E13" s="4" t="n">
        <f aca="false">COUNTIFS(Improvements!$B$2:$B$142,$B13,Improvements!$F$2:$F$142,E$6)</f>
        <v>1</v>
      </c>
      <c r="F13" s="5" t="n">
        <f aca="false">SUM(C13:E13)</f>
        <v>6</v>
      </c>
    </row>
    <row r="14" customFormat="false" ht="15" hidden="false" customHeight="false" outlineLevel="0" collapsed="false">
      <c r="B14" s="4" t="s">
        <v>15</v>
      </c>
      <c r="C14" s="4" t="n">
        <f aca="false">COUNTIFS(Improvements!$B$2:$B$142,$B14,Improvements!$F$2:$F$142,C$6)</f>
        <v>3</v>
      </c>
      <c r="D14" s="4" t="n">
        <f aca="false">COUNTIFS(Improvements!$B$2:$B$142,$B14,Improvements!$F$2:$F$142,D$6)</f>
        <v>3</v>
      </c>
      <c r="E14" s="4" t="n">
        <f aca="false">COUNTIFS(Improvements!$B$2:$B$142,$B14,Improvements!$F$2:$F$142,E$6)</f>
        <v>1</v>
      </c>
      <c r="F14" s="5" t="n">
        <f aca="false">SUM(C14:E14)</f>
        <v>7</v>
      </c>
    </row>
    <row r="15" customFormat="false" ht="15" hidden="false" customHeight="false" outlineLevel="0" collapsed="false">
      <c r="B15" s="4" t="s">
        <v>16</v>
      </c>
      <c r="C15" s="4" t="n">
        <f aca="false">COUNTIFS(Improvements!$B$2:$B$142,$B15,Improvements!$F$2:$F$142,C$6)</f>
        <v>1</v>
      </c>
      <c r="D15" s="4" t="n">
        <f aca="false">COUNTIFS(Improvements!$B$2:$B$142,$B15,Improvements!$F$2:$F$142,D$6)</f>
        <v>6</v>
      </c>
      <c r="E15" s="4" t="n">
        <f aca="false">COUNTIFS(Improvements!$B$2:$B$142,$B15,Improvements!$F$2:$F$142,E$6)</f>
        <v>1</v>
      </c>
      <c r="F15" s="5" t="n">
        <f aca="false">SUM(C15:E15)</f>
        <v>8</v>
      </c>
    </row>
    <row r="16" customFormat="false" ht="15" hidden="false" customHeight="false" outlineLevel="0" collapsed="false">
      <c r="B16" s="4" t="s">
        <v>17</v>
      </c>
      <c r="C16" s="4" t="n">
        <f aca="false">COUNTIFS(Improvements!$B$2:$B$142,$B16,Improvements!$F$2:$F$142,C$6)</f>
        <v>5</v>
      </c>
      <c r="D16" s="4" t="n">
        <f aca="false">COUNTIFS(Improvements!$B$2:$B$142,$B16,Improvements!$F$2:$F$142,D$6)</f>
        <v>6</v>
      </c>
      <c r="E16" s="4" t="n">
        <f aca="false">COUNTIFS(Improvements!$B$2:$B$142,$B16,Improvements!$F$2:$F$142,E$6)</f>
        <v>0</v>
      </c>
      <c r="F16" s="5" t="n">
        <f aca="false">SUM(C16:E16)</f>
        <v>11</v>
      </c>
    </row>
    <row r="17" customFormat="false" ht="15" hidden="false" customHeight="false" outlineLevel="0" collapsed="false">
      <c r="B17" s="4" t="s">
        <v>18</v>
      </c>
      <c r="C17" s="4" t="n">
        <f aca="false">COUNTIFS(Improvements!$B$2:$B$142,$B17,Improvements!$F$2:$F$142,C$6)</f>
        <v>5</v>
      </c>
      <c r="D17" s="4" t="n">
        <f aca="false">COUNTIFS(Improvements!$B$2:$B$142,$B17,Improvements!$F$2:$F$142,D$6)</f>
        <v>5</v>
      </c>
      <c r="E17" s="4" t="n">
        <f aca="false">COUNTIFS(Improvements!$B$2:$B$142,$B17,Improvements!$F$2:$F$142,E$6)</f>
        <v>1</v>
      </c>
      <c r="F17" s="5" t="n">
        <f aca="false">SUM(C17:E17)</f>
        <v>11</v>
      </c>
    </row>
    <row r="18" customFormat="false" ht="15" hidden="false" customHeight="false" outlineLevel="0" collapsed="false">
      <c r="B18" s="4" t="s">
        <v>19</v>
      </c>
      <c r="C18" s="4" t="n">
        <f aca="false">COUNTIFS(Improvements!$B$2:$B$142,$B18,Improvements!$F$2:$F$142,C$6)</f>
        <v>3</v>
      </c>
      <c r="D18" s="4" t="n">
        <f aca="false">COUNTIFS(Improvements!$B$2:$B$142,$B18,Improvements!$F$2:$F$142,D$6)</f>
        <v>3</v>
      </c>
      <c r="E18" s="4" t="n">
        <f aca="false">COUNTIFS(Improvements!$B$2:$B$142,$B18,Improvements!$F$2:$F$142,E$6)</f>
        <v>1</v>
      </c>
      <c r="F18" s="5" t="n">
        <f aca="false">SUM(C18:E18)</f>
        <v>7</v>
      </c>
    </row>
    <row r="19" customFormat="false" ht="15" hidden="false" customHeight="false" outlineLevel="0" collapsed="false">
      <c r="B19" s="4" t="s">
        <v>20</v>
      </c>
      <c r="C19" s="4" t="n">
        <f aca="false">COUNTIFS(Improvements!$B$2:$B$142,$B19,Improvements!$F$2:$F$142,C$6)</f>
        <v>2</v>
      </c>
      <c r="D19" s="4" t="n">
        <f aca="false">COUNTIFS(Improvements!$B$2:$B$142,$B19,Improvements!$F$2:$F$142,D$6)</f>
        <v>3</v>
      </c>
      <c r="E19" s="4" t="n">
        <f aca="false">COUNTIFS(Improvements!$B$2:$B$142,$B19,Improvements!$F$2:$F$142,E$6)</f>
        <v>0</v>
      </c>
      <c r="F19" s="5" t="n">
        <f aca="false">SUM(C19:E19)</f>
        <v>5</v>
      </c>
    </row>
    <row r="20" customFormat="false" ht="15" hidden="false" customHeight="false" outlineLevel="0" collapsed="false">
      <c r="B20" s="4" t="s">
        <v>21</v>
      </c>
      <c r="C20" s="4" t="n">
        <f aca="false">COUNTIFS(Improvements!$B$2:$B$142,$B20,Improvements!$F$2:$F$142,C$6)</f>
        <v>3</v>
      </c>
      <c r="D20" s="4" t="n">
        <f aca="false">COUNTIFS(Improvements!$B$2:$B$142,$B20,Improvements!$F$2:$F$142,D$6)</f>
        <v>2</v>
      </c>
      <c r="E20" s="4" t="n">
        <f aca="false">COUNTIFS(Improvements!$B$2:$B$142,$B20,Improvements!$F$2:$F$142,E$6)</f>
        <v>0</v>
      </c>
      <c r="F20" s="5" t="n">
        <f aca="false">SUM(C20:E20)</f>
        <v>5</v>
      </c>
    </row>
    <row r="21" customFormat="false" ht="15" hidden="false" customHeight="false" outlineLevel="0" collapsed="false">
      <c r="B21" s="5" t="s">
        <v>7</v>
      </c>
      <c r="C21" s="6" t="n">
        <f aca="false">SUM(C7:C20)</f>
        <v>47</v>
      </c>
      <c r="D21" s="6" t="n">
        <f aca="false">SUM(D7:D20)</f>
        <v>76</v>
      </c>
      <c r="E21" s="6" t="n">
        <f aca="false">SUM(E7:E20)</f>
        <v>18</v>
      </c>
      <c r="F21" s="6" t="n">
        <f aca="false">SUM(F7:F20)</f>
        <v>141</v>
      </c>
    </row>
    <row r="23" customFormat="false" ht="15" hidden="false" customHeight="false" outlineLevel="0" collapsed="false">
      <c r="B23" s="7" t="s">
        <v>22</v>
      </c>
    </row>
    <row r="24" customFormat="false" ht="27.75" hidden="false" customHeight="true" outlineLevel="0" collapsed="false">
      <c r="B24" s="8" t="s">
        <v>23</v>
      </c>
      <c r="C24" s="9" t="s">
        <v>24</v>
      </c>
      <c r="D24" s="9"/>
      <c r="E24" s="9"/>
      <c r="F24" s="9"/>
    </row>
    <row r="26" customFormat="false" ht="27.75" hidden="false" customHeight="true" outlineLevel="0" collapsed="false">
      <c r="B26" s="8" t="s">
        <v>25</v>
      </c>
      <c r="C26" s="9" t="s">
        <v>26</v>
      </c>
      <c r="D26" s="9"/>
      <c r="E26" s="9"/>
      <c r="F26" s="9"/>
    </row>
    <row r="28" customFormat="false" ht="27.75" hidden="false" customHeight="true" outlineLevel="0" collapsed="false">
      <c r="B28" s="8" t="s">
        <v>27</v>
      </c>
      <c r="C28" s="9" t="s">
        <v>28</v>
      </c>
      <c r="D28" s="9"/>
      <c r="E28" s="9"/>
      <c r="F28" s="9"/>
    </row>
    <row r="30" customFormat="false" ht="27.75" hidden="false" customHeight="true" outlineLevel="0" collapsed="false">
      <c r="B30" s="8" t="s">
        <v>29</v>
      </c>
      <c r="C30" s="9" t="s">
        <v>30</v>
      </c>
      <c r="D30" s="9"/>
      <c r="E30" s="9"/>
      <c r="F30" s="9"/>
    </row>
  </sheetData>
  <mergeCells count="4">
    <mergeCell ref="C24:F24"/>
    <mergeCell ref="C26:F26"/>
    <mergeCell ref="C28:F28"/>
    <mergeCell ref="C30:F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22"/>
    <col collapsed="false" customWidth="true" hidden="false" outlineLevel="0" max="5" min="4" style="0" width="62"/>
    <col collapsed="false" customWidth="true" hidden="false" outlineLevel="0" max="6" min="6" style="0" width="9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4"/>
    <col collapsed="false" customWidth="true" hidden="false" outlineLevel="0" max="10" min="10" style="0" width="8"/>
  </cols>
  <sheetData>
    <row r="1" customFormat="false" ht="25.5" hidden="false" customHeight="true" outlineLevel="0" collapsed="false">
      <c r="A1" s="10" t="s">
        <v>31</v>
      </c>
      <c r="B1" s="10" t="s">
        <v>3</v>
      </c>
      <c r="C1" s="10" t="s">
        <v>32</v>
      </c>
      <c r="D1" s="10" t="s">
        <v>33</v>
      </c>
      <c r="E1" s="10" t="s">
        <v>34</v>
      </c>
      <c r="F1" s="10" t="s">
        <v>35</v>
      </c>
      <c r="G1" s="10" t="s">
        <v>36</v>
      </c>
      <c r="H1" s="10" t="s">
        <v>37</v>
      </c>
      <c r="I1" s="10" t="s">
        <v>38</v>
      </c>
      <c r="J1" s="10" t="s">
        <v>39</v>
      </c>
    </row>
    <row r="2" customFormat="false" ht="39" hidden="false" customHeight="true" outlineLevel="0" collapsed="false">
      <c r="A2" s="11" t="n">
        <v>1</v>
      </c>
      <c r="B2" s="12" t="s">
        <v>8</v>
      </c>
      <c r="C2" s="12" t="s">
        <v>40</v>
      </c>
      <c r="D2" s="13" t="s">
        <v>41</v>
      </c>
      <c r="E2" s="13" t="s">
        <v>42</v>
      </c>
      <c r="F2" s="14" t="s">
        <v>4</v>
      </c>
      <c r="G2" s="15" t="s">
        <v>43</v>
      </c>
      <c r="H2" s="12" t="s">
        <v>44</v>
      </c>
    </row>
    <row r="3" customFormat="false" ht="39" hidden="false" customHeight="true" outlineLevel="0" collapsed="false">
      <c r="A3" s="11" t="n">
        <v>2</v>
      </c>
      <c r="B3" s="12" t="s">
        <v>8</v>
      </c>
      <c r="C3" s="12" t="s">
        <v>45</v>
      </c>
      <c r="D3" s="13" t="s">
        <v>46</v>
      </c>
      <c r="E3" s="13" t="s">
        <v>47</v>
      </c>
      <c r="F3" s="14" t="s">
        <v>4</v>
      </c>
      <c r="G3" s="15" t="s">
        <v>43</v>
      </c>
      <c r="H3" s="12" t="s">
        <v>44</v>
      </c>
    </row>
    <row r="4" customFormat="false" ht="27.75" hidden="false" customHeight="true" outlineLevel="0" collapsed="false">
      <c r="A4" s="11" t="n">
        <v>3</v>
      </c>
      <c r="B4" s="12" t="s">
        <v>8</v>
      </c>
      <c r="C4" s="12" t="s">
        <v>48</v>
      </c>
      <c r="D4" s="13" t="s">
        <v>49</v>
      </c>
      <c r="E4" s="13" t="s">
        <v>50</v>
      </c>
      <c r="F4" s="14" t="s">
        <v>4</v>
      </c>
      <c r="G4" s="15" t="s">
        <v>43</v>
      </c>
      <c r="H4" s="12" t="s">
        <v>51</v>
      </c>
    </row>
    <row r="5" customFormat="false" ht="27.75" hidden="false" customHeight="true" outlineLevel="0" collapsed="false">
      <c r="A5" s="11" t="n">
        <v>4</v>
      </c>
      <c r="B5" s="12" t="s">
        <v>8</v>
      </c>
      <c r="C5" s="12" t="s">
        <v>40</v>
      </c>
      <c r="D5" s="13" t="s">
        <v>52</v>
      </c>
      <c r="E5" s="13" t="s">
        <v>53</v>
      </c>
      <c r="F5" s="14" t="s">
        <v>4</v>
      </c>
      <c r="G5" s="15" t="s">
        <v>43</v>
      </c>
      <c r="H5" s="16" t="s">
        <v>54</v>
      </c>
    </row>
    <row r="6" customFormat="false" ht="27.75" hidden="false" customHeight="true" outlineLevel="0" collapsed="false">
      <c r="A6" s="11" t="n">
        <v>5</v>
      </c>
      <c r="B6" s="12" t="s">
        <v>8</v>
      </c>
      <c r="C6" s="12" t="s">
        <v>55</v>
      </c>
      <c r="D6" s="13" t="s">
        <v>56</v>
      </c>
      <c r="E6" s="13" t="s">
        <v>57</v>
      </c>
      <c r="F6" s="14" t="s">
        <v>4</v>
      </c>
      <c r="G6" s="15" t="s">
        <v>58</v>
      </c>
      <c r="H6" s="16" t="s">
        <v>54</v>
      </c>
    </row>
    <row r="7" customFormat="false" ht="27.75" hidden="false" customHeight="true" outlineLevel="0" collapsed="false">
      <c r="A7" s="11" t="n">
        <v>6</v>
      </c>
      <c r="B7" s="12" t="s">
        <v>8</v>
      </c>
      <c r="C7" s="12" t="s">
        <v>59</v>
      </c>
      <c r="D7" s="13" t="s">
        <v>60</v>
      </c>
      <c r="E7" s="13" t="s">
        <v>61</v>
      </c>
      <c r="F7" s="14" t="s">
        <v>4</v>
      </c>
      <c r="G7" s="15" t="s">
        <v>43</v>
      </c>
      <c r="H7" s="12" t="s">
        <v>51</v>
      </c>
    </row>
    <row r="8" customFormat="false" ht="27.75" hidden="false" customHeight="true" outlineLevel="0" collapsed="false">
      <c r="A8" s="11" t="n">
        <v>7</v>
      </c>
      <c r="B8" s="12" t="s">
        <v>8</v>
      </c>
      <c r="C8" s="12" t="s">
        <v>59</v>
      </c>
      <c r="D8" s="13" t="s">
        <v>62</v>
      </c>
      <c r="E8" s="13" t="s">
        <v>63</v>
      </c>
      <c r="F8" s="17" t="s">
        <v>5</v>
      </c>
      <c r="G8" s="15" t="s">
        <v>43</v>
      </c>
      <c r="H8" s="12" t="s">
        <v>51</v>
      </c>
    </row>
    <row r="9" customFormat="false" ht="27.75" hidden="false" customHeight="true" outlineLevel="0" collapsed="false">
      <c r="A9" s="11" t="n">
        <v>8</v>
      </c>
      <c r="B9" s="12" t="s">
        <v>8</v>
      </c>
      <c r="C9" s="12" t="s">
        <v>64</v>
      </c>
      <c r="D9" s="13" t="s">
        <v>65</v>
      </c>
      <c r="E9" s="13" t="s">
        <v>66</v>
      </c>
      <c r="F9" s="17" t="s">
        <v>5</v>
      </c>
      <c r="G9" s="15" t="s">
        <v>43</v>
      </c>
      <c r="H9" s="12" t="s">
        <v>51</v>
      </c>
    </row>
    <row r="10" customFormat="false" ht="27.75" hidden="false" customHeight="true" outlineLevel="0" collapsed="false">
      <c r="A10" s="11" t="n">
        <v>9</v>
      </c>
      <c r="B10" s="12" t="s">
        <v>8</v>
      </c>
      <c r="C10" s="12" t="s">
        <v>40</v>
      </c>
      <c r="D10" s="13" t="s">
        <v>67</v>
      </c>
      <c r="E10" s="13" t="s">
        <v>68</v>
      </c>
      <c r="F10" s="17" t="s">
        <v>5</v>
      </c>
      <c r="G10" s="15" t="s">
        <v>43</v>
      </c>
      <c r="H10" s="16" t="s">
        <v>54</v>
      </c>
    </row>
    <row r="11" customFormat="false" ht="27.75" hidden="false" customHeight="true" outlineLevel="0" collapsed="false">
      <c r="A11" s="11" t="n">
        <v>10</v>
      </c>
      <c r="B11" s="12" t="s">
        <v>8</v>
      </c>
      <c r="C11" s="12" t="s">
        <v>69</v>
      </c>
      <c r="D11" s="13" t="s">
        <v>70</v>
      </c>
      <c r="E11" s="13" t="s">
        <v>71</v>
      </c>
      <c r="F11" s="17" t="s">
        <v>5</v>
      </c>
      <c r="G11" s="15" t="s">
        <v>43</v>
      </c>
      <c r="H11" s="16" t="s">
        <v>54</v>
      </c>
    </row>
    <row r="12" customFormat="false" ht="27.75" hidden="false" customHeight="true" outlineLevel="0" collapsed="false">
      <c r="A12" s="11" t="n">
        <v>11</v>
      </c>
      <c r="B12" s="12" t="s">
        <v>8</v>
      </c>
      <c r="C12" s="12" t="s">
        <v>72</v>
      </c>
      <c r="D12" s="13" t="s">
        <v>73</v>
      </c>
      <c r="E12" s="13" t="s">
        <v>74</v>
      </c>
      <c r="F12" s="17" t="s">
        <v>5</v>
      </c>
      <c r="G12" s="15" t="s">
        <v>43</v>
      </c>
      <c r="H12" s="12" t="s">
        <v>51</v>
      </c>
    </row>
    <row r="13" customFormat="false" ht="27.75" hidden="false" customHeight="true" outlineLevel="0" collapsed="false">
      <c r="A13" s="11" t="n">
        <v>12</v>
      </c>
      <c r="B13" s="12" t="s">
        <v>8</v>
      </c>
      <c r="C13" s="12" t="s">
        <v>75</v>
      </c>
      <c r="D13" s="13" t="s">
        <v>76</v>
      </c>
      <c r="E13" s="13" t="s">
        <v>77</v>
      </c>
      <c r="F13" s="17" t="s">
        <v>5</v>
      </c>
      <c r="G13" s="15" t="s">
        <v>43</v>
      </c>
      <c r="H13" s="12" t="s">
        <v>51</v>
      </c>
    </row>
    <row r="14" customFormat="false" ht="27.75" hidden="false" customHeight="true" outlineLevel="0" collapsed="false">
      <c r="A14" s="11" t="n">
        <v>13</v>
      </c>
      <c r="B14" s="12" t="s">
        <v>8</v>
      </c>
      <c r="C14" s="12" t="s">
        <v>40</v>
      </c>
      <c r="D14" s="13" t="s">
        <v>78</v>
      </c>
      <c r="E14" s="13" t="s">
        <v>79</v>
      </c>
      <c r="F14" s="17" t="s">
        <v>5</v>
      </c>
      <c r="G14" s="15" t="s">
        <v>58</v>
      </c>
      <c r="H14" s="16" t="s">
        <v>54</v>
      </c>
    </row>
    <row r="15" customFormat="false" ht="27.75" hidden="false" customHeight="true" outlineLevel="0" collapsed="false">
      <c r="A15" s="11" t="n">
        <v>14</v>
      </c>
      <c r="B15" s="12" t="s">
        <v>8</v>
      </c>
      <c r="C15" s="12" t="s">
        <v>40</v>
      </c>
      <c r="D15" s="13" t="s">
        <v>80</v>
      </c>
      <c r="E15" s="13" t="s">
        <v>81</v>
      </c>
      <c r="F15" s="17" t="s">
        <v>5</v>
      </c>
      <c r="G15" s="15" t="s">
        <v>58</v>
      </c>
      <c r="H15" s="16" t="s">
        <v>54</v>
      </c>
    </row>
    <row r="16" customFormat="false" ht="27.75" hidden="false" customHeight="true" outlineLevel="0" collapsed="false">
      <c r="A16" s="11" t="n">
        <v>15</v>
      </c>
      <c r="B16" s="12" t="s">
        <v>8</v>
      </c>
      <c r="C16" s="12" t="s">
        <v>82</v>
      </c>
      <c r="D16" s="13" t="s">
        <v>83</v>
      </c>
      <c r="E16" s="13" t="s">
        <v>84</v>
      </c>
      <c r="F16" s="17" t="s">
        <v>5</v>
      </c>
      <c r="G16" s="15" t="s">
        <v>43</v>
      </c>
      <c r="H16" s="12" t="s">
        <v>51</v>
      </c>
    </row>
    <row r="17" customFormat="false" ht="27.75" hidden="false" customHeight="true" outlineLevel="0" collapsed="false">
      <c r="A17" s="11" t="n">
        <v>16</v>
      </c>
      <c r="B17" s="12" t="s">
        <v>8</v>
      </c>
      <c r="C17" s="12" t="s">
        <v>85</v>
      </c>
      <c r="D17" s="13" t="s">
        <v>86</v>
      </c>
      <c r="E17" s="13" t="s">
        <v>87</v>
      </c>
      <c r="F17" s="17" t="s">
        <v>5</v>
      </c>
      <c r="G17" s="15" t="s">
        <v>43</v>
      </c>
      <c r="H17" s="16" t="s">
        <v>54</v>
      </c>
    </row>
    <row r="18" customFormat="false" ht="27.75" hidden="false" customHeight="true" outlineLevel="0" collapsed="false">
      <c r="A18" s="11" t="n">
        <v>17</v>
      </c>
      <c r="B18" s="12" t="s">
        <v>8</v>
      </c>
      <c r="C18" s="12" t="s">
        <v>88</v>
      </c>
      <c r="D18" s="13" t="s">
        <v>89</v>
      </c>
      <c r="E18" s="13" t="s">
        <v>90</v>
      </c>
      <c r="F18" s="17" t="s">
        <v>5</v>
      </c>
      <c r="G18" s="15" t="s">
        <v>43</v>
      </c>
      <c r="H18" s="12" t="s">
        <v>51</v>
      </c>
    </row>
    <row r="19" customFormat="false" ht="27.75" hidden="false" customHeight="true" outlineLevel="0" collapsed="false">
      <c r="A19" s="11" t="n">
        <v>18</v>
      </c>
      <c r="B19" s="12" t="s">
        <v>8</v>
      </c>
      <c r="C19" s="12" t="s">
        <v>40</v>
      </c>
      <c r="D19" s="13" t="s">
        <v>91</v>
      </c>
      <c r="E19" s="13" t="s">
        <v>92</v>
      </c>
      <c r="F19" s="18" t="s">
        <v>6</v>
      </c>
      <c r="G19" s="15" t="s">
        <v>58</v>
      </c>
      <c r="H19" s="16" t="s">
        <v>54</v>
      </c>
    </row>
    <row r="20" customFormat="false" ht="39" hidden="false" customHeight="true" outlineLevel="0" collapsed="false">
      <c r="A20" s="11" t="n">
        <v>19</v>
      </c>
      <c r="B20" s="12" t="s">
        <v>9</v>
      </c>
      <c r="C20" s="12" t="s">
        <v>40</v>
      </c>
      <c r="D20" s="13" t="s">
        <v>93</v>
      </c>
      <c r="E20" s="13" t="s">
        <v>94</v>
      </c>
      <c r="F20" s="14" t="s">
        <v>4</v>
      </c>
      <c r="G20" s="15" t="s">
        <v>58</v>
      </c>
      <c r="H20" s="12" t="s">
        <v>51</v>
      </c>
    </row>
    <row r="21" customFormat="false" ht="27.75" hidden="false" customHeight="true" outlineLevel="0" collapsed="false">
      <c r="A21" s="11" t="n">
        <v>20</v>
      </c>
      <c r="B21" s="12" t="s">
        <v>9</v>
      </c>
      <c r="C21" s="12" t="s">
        <v>48</v>
      </c>
      <c r="D21" s="13" t="s">
        <v>95</v>
      </c>
      <c r="E21" s="13" t="s">
        <v>96</v>
      </c>
      <c r="F21" s="17" t="s">
        <v>5</v>
      </c>
      <c r="G21" s="15" t="s">
        <v>43</v>
      </c>
      <c r="H21" s="12" t="s">
        <v>51</v>
      </c>
    </row>
    <row r="22" customFormat="false" ht="27.75" hidden="false" customHeight="true" outlineLevel="0" collapsed="false">
      <c r="A22" s="11" t="n">
        <v>21</v>
      </c>
      <c r="B22" s="12" t="s">
        <v>9</v>
      </c>
      <c r="C22" s="12" t="s">
        <v>97</v>
      </c>
      <c r="D22" s="13" t="s">
        <v>98</v>
      </c>
      <c r="E22" s="13" t="s">
        <v>99</v>
      </c>
      <c r="F22" s="17" t="s">
        <v>5</v>
      </c>
      <c r="G22" s="15" t="s">
        <v>43</v>
      </c>
      <c r="H22" s="12" t="s">
        <v>51</v>
      </c>
    </row>
    <row r="23" customFormat="false" ht="27.75" hidden="false" customHeight="true" outlineLevel="0" collapsed="false">
      <c r="A23" s="11" t="n">
        <v>22</v>
      </c>
      <c r="B23" s="12" t="s">
        <v>9</v>
      </c>
      <c r="C23" s="12" t="s">
        <v>40</v>
      </c>
      <c r="D23" s="13" t="s">
        <v>100</v>
      </c>
      <c r="E23" s="13" t="s">
        <v>101</v>
      </c>
      <c r="F23" s="17" t="s">
        <v>5</v>
      </c>
      <c r="G23" s="15" t="s">
        <v>58</v>
      </c>
      <c r="H23" s="12" t="s">
        <v>51</v>
      </c>
    </row>
    <row r="24" customFormat="false" ht="27.75" hidden="false" customHeight="true" outlineLevel="0" collapsed="false">
      <c r="A24" s="11" t="n">
        <v>23</v>
      </c>
      <c r="B24" s="12" t="s">
        <v>9</v>
      </c>
      <c r="C24" s="12" t="s">
        <v>102</v>
      </c>
      <c r="D24" s="13" t="s">
        <v>103</v>
      </c>
      <c r="E24" s="13" t="s">
        <v>104</v>
      </c>
      <c r="F24" s="17" t="s">
        <v>5</v>
      </c>
      <c r="G24" s="15" t="s">
        <v>43</v>
      </c>
      <c r="H24" s="12" t="s">
        <v>51</v>
      </c>
    </row>
    <row r="25" customFormat="false" ht="27.75" hidden="false" customHeight="true" outlineLevel="0" collapsed="false">
      <c r="A25" s="11" t="n">
        <v>24</v>
      </c>
      <c r="B25" s="12" t="s">
        <v>9</v>
      </c>
      <c r="C25" s="12" t="s">
        <v>40</v>
      </c>
      <c r="D25" s="13" t="s">
        <v>105</v>
      </c>
      <c r="E25" s="13" t="s">
        <v>106</v>
      </c>
      <c r="F25" s="18" t="s">
        <v>6</v>
      </c>
      <c r="G25" s="15" t="s">
        <v>43</v>
      </c>
      <c r="H25" s="12" t="s">
        <v>51</v>
      </c>
    </row>
    <row r="26" customFormat="false" ht="27.75" hidden="false" customHeight="true" outlineLevel="0" collapsed="false">
      <c r="A26" s="11" t="n">
        <v>25</v>
      </c>
      <c r="B26" s="12" t="s">
        <v>9</v>
      </c>
      <c r="C26" s="12" t="s">
        <v>40</v>
      </c>
      <c r="D26" s="13" t="s">
        <v>107</v>
      </c>
      <c r="E26" s="13" t="s">
        <v>108</v>
      </c>
      <c r="F26" s="17" t="s">
        <v>5</v>
      </c>
      <c r="G26" s="15" t="s">
        <v>43</v>
      </c>
      <c r="H26" s="16" t="s">
        <v>54</v>
      </c>
    </row>
    <row r="27" customFormat="false" ht="27.75" hidden="false" customHeight="true" outlineLevel="0" collapsed="false">
      <c r="A27" s="11" t="n">
        <v>26</v>
      </c>
      <c r="B27" s="12" t="s">
        <v>9</v>
      </c>
      <c r="C27" s="12" t="s">
        <v>40</v>
      </c>
      <c r="D27" s="13" t="s">
        <v>109</v>
      </c>
      <c r="E27" s="13" t="s">
        <v>110</v>
      </c>
      <c r="F27" s="18" t="s">
        <v>6</v>
      </c>
      <c r="G27" s="15" t="s">
        <v>43</v>
      </c>
      <c r="H27" s="16" t="s">
        <v>54</v>
      </c>
    </row>
    <row r="28" customFormat="false" ht="27.75" hidden="false" customHeight="true" outlineLevel="0" collapsed="false">
      <c r="A28" s="11" t="n">
        <v>27</v>
      </c>
      <c r="B28" s="12" t="s">
        <v>9</v>
      </c>
      <c r="C28" s="12" t="s">
        <v>111</v>
      </c>
      <c r="D28" s="13" t="s">
        <v>112</v>
      </c>
      <c r="E28" s="13" t="s">
        <v>113</v>
      </c>
      <c r="F28" s="18" t="s">
        <v>6</v>
      </c>
      <c r="G28" s="15" t="s">
        <v>43</v>
      </c>
      <c r="H28" s="12" t="s">
        <v>51</v>
      </c>
    </row>
    <row r="29" customFormat="false" ht="27.75" hidden="false" customHeight="true" outlineLevel="0" collapsed="false">
      <c r="A29" s="11" t="n">
        <v>28</v>
      </c>
      <c r="B29" s="12" t="s">
        <v>9</v>
      </c>
      <c r="C29" s="12" t="s">
        <v>114</v>
      </c>
      <c r="D29" s="13" t="s">
        <v>115</v>
      </c>
      <c r="E29" s="13" t="s">
        <v>116</v>
      </c>
      <c r="F29" s="17" t="s">
        <v>5</v>
      </c>
      <c r="G29" s="15" t="s">
        <v>58</v>
      </c>
      <c r="H29" s="12" t="s">
        <v>117</v>
      </c>
    </row>
    <row r="30" customFormat="false" ht="27.75" hidden="false" customHeight="true" outlineLevel="0" collapsed="false">
      <c r="A30" s="11" t="n">
        <v>29</v>
      </c>
      <c r="B30" s="12" t="s">
        <v>10</v>
      </c>
      <c r="C30" s="12" t="s">
        <v>118</v>
      </c>
      <c r="D30" s="13" t="s">
        <v>119</v>
      </c>
      <c r="E30" s="13" t="s">
        <v>120</v>
      </c>
      <c r="F30" s="14" t="s">
        <v>4</v>
      </c>
      <c r="G30" s="15" t="s">
        <v>43</v>
      </c>
      <c r="H30" s="12" t="s">
        <v>51</v>
      </c>
    </row>
    <row r="31" customFormat="false" ht="27.75" hidden="false" customHeight="true" outlineLevel="0" collapsed="false">
      <c r="A31" s="11" t="n">
        <v>30</v>
      </c>
      <c r="B31" s="12" t="s">
        <v>10</v>
      </c>
      <c r="C31" s="12" t="s">
        <v>121</v>
      </c>
      <c r="D31" s="13" t="s">
        <v>122</v>
      </c>
      <c r="E31" s="13" t="s">
        <v>123</v>
      </c>
      <c r="F31" s="14" t="s">
        <v>4</v>
      </c>
      <c r="G31" s="15" t="s">
        <v>43</v>
      </c>
      <c r="H31" s="12" t="s">
        <v>51</v>
      </c>
    </row>
    <row r="32" customFormat="false" ht="27.75" hidden="false" customHeight="true" outlineLevel="0" collapsed="false">
      <c r="A32" s="11" t="n">
        <v>31</v>
      </c>
      <c r="B32" s="12" t="s">
        <v>10</v>
      </c>
      <c r="C32" s="12" t="s">
        <v>85</v>
      </c>
      <c r="D32" s="13" t="s">
        <v>124</v>
      </c>
      <c r="E32" s="13" t="s">
        <v>125</v>
      </c>
      <c r="F32" s="14" t="s">
        <v>4</v>
      </c>
      <c r="G32" s="15" t="s">
        <v>43</v>
      </c>
      <c r="H32" s="12" t="s">
        <v>51</v>
      </c>
    </row>
    <row r="33" customFormat="false" ht="27.75" hidden="false" customHeight="true" outlineLevel="0" collapsed="false">
      <c r="A33" s="11" t="n">
        <v>32</v>
      </c>
      <c r="B33" s="12" t="s">
        <v>10</v>
      </c>
      <c r="C33" s="12" t="s">
        <v>40</v>
      </c>
      <c r="D33" s="13" t="s">
        <v>126</v>
      </c>
      <c r="E33" s="13" t="s">
        <v>127</v>
      </c>
      <c r="F33" s="17" t="s">
        <v>5</v>
      </c>
      <c r="G33" s="15" t="s">
        <v>58</v>
      </c>
      <c r="H33" s="12" t="s">
        <v>51</v>
      </c>
    </row>
    <row r="34" customFormat="false" ht="27.75" hidden="false" customHeight="true" outlineLevel="0" collapsed="false">
      <c r="A34" s="11" t="n">
        <v>33</v>
      </c>
      <c r="B34" s="12" t="s">
        <v>10</v>
      </c>
      <c r="C34" s="12" t="s">
        <v>40</v>
      </c>
      <c r="D34" s="13" t="s">
        <v>128</v>
      </c>
      <c r="E34" s="13" t="s">
        <v>129</v>
      </c>
      <c r="F34" s="17" t="s">
        <v>5</v>
      </c>
      <c r="G34" s="15" t="s">
        <v>58</v>
      </c>
      <c r="H34" s="12" t="s">
        <v>51</v>
      </c>
    </row>
    <row r="35" customFormat="false" ht="27.75" hidden="false" customHeight="true" outlineLevel="0" collapsed="false">
      <c r="A35" s="11" t="n">
        <v>34</v>
      </c>
      <c r="B35" s="12" t="s">
        <v>10</v>
      </c>
      <c r="C35" s="12" t="s">
        <v>130</v>
      </c>
      <c r="D35" s="13" t="s">
        <v>131</v>
      </c>
      <c r="E35" s="13" t="s">
        <v>132</v>
      </c>
      <c r="F35" s="17" t="s">
        <v>5</v>
      </c>
      <c r="G35" s="15" t="s">
        <v>43</v>
      </c>
      <c r="H35" s="12" t="s">
        <v>51</v>
      </c>
    </row>
    <row r="36" customFormat="false" ht="27.75" hidden="false" customHeight="true" outlineLevel="0" collapsed="false">
      <c r="A36" s="11" t="n">
        <v>35</v>
      </c>
      <c r="B36" s="12" t="s">
        <v>10</v>
      </c>
      <c r="C36" s="12" t="s">
        <v>130</v>
      </c>
      <c r="D36" s="13" t="s">
        <v>133</v>
      </c>
      <c r="E36" s="13" t="s">
        <v>134</v>
      </c>
      <c r="F36" s="17" t="s">
        <v>5</v>
      </c>
      <c r="G36" s="15" t="s">
        <v>43</v>
      </c>
      <c r="H36" s="12" t="s">
        <v>51</v>
      </c>
    </row>
    <row r="37" customFormat="false" ht="27.75" hidden="false" customHeight="true" outlineLevel="0" collapsed="false">
      <c r="A37" s="11" t="n">
        <v>36</v>
      </c>
      <c r="B37" s="12" t="s">
        <v>10</v>
      </c>
      <c r="C37" s="12" t="s">
        <v>135</v>
      </c>
      <c r="D37" s="13" t="s">
        <v>136</v>
      </c>
      <c r="E37" s="13" t="s">
        <v>137</v>
      </c>
      <c r="F37" s="18" t="s">
        <v>6</v>
      </c>
      <c r="G37" s="15" t="s">
        <v>43</v>
      </c>
      <c r="H37" s="12" t="s">
        <v>51</v>
      </c>
    </row>
    <row r="38" customFormat="false" ht="27.75" hidden="false" customHeight="true" outlineLevel="0" collapsed="false">
      <c r="A38" s="11" t="n">
        <v>37</v>
      </c>
      <c r="B38" s="12" t="s">
        <v>10</v>
      </c>
      <c r="C38" s="12" t="s">
        <v>138</v>
      </c>
      <c r="D38" s="13" t="s">
        <v>139</v>
      </c>
      <c r="E38" s="13" t="s">
        <v>140</v>
      </c>
      <c r="F38" s="17" t="s">
        <v>5</v>
      </c>
      <c r="G38" s="15" t="s">
        <v>43</v>
      </c>
      <c r="H38" s="12" t="s">
        <v>51</v>
      </c>
    </row>
    <row r="39" customFormat="false" ht="27.75" hidden="false" customHeight="true" outlineLevel="0" collapsed="false">
      <c r="A39" s="11" t="n">
        <v>38</v>
      </c>
      <c r="B39" s="12" t="s">
        <v>10</v>
      </c>
      <c r="C39" s="12" t="s">
        <v>141</v>
      </c>
      <c r="D39" s="13" t="s">
        <v>142</v>
      </c>
      <c r="E39" s="13" t="s">
        <v>143</v>
      </c>
      <c r="F39" s="18" t="s">
        <v>6</v>
      </c>
      <c r="G39" s="15" t="s">
        <v>43</v>
      </c>
      <c r="H39" s="12" t="s">
        <v>51</v>
      </c>
    </row>
    <row r="40" customFormat="false" ht="27.75" hidden="false" customHeight="true" outlineLevel="0" collapsed="false">
      <c r="A40" s="11" t="n">
        <v>39</v>
      </c>
      <c r="B40" s="12" t="s">
        <v>10</v>
      </c>
      <c r="C40" s="12" t="s">
        <v>144</v>
      </c>
      <c r="D40" s="13" t="s">
        <v>145</v>
      </c>
      <c r="E40" s="13" t="s">
        <v>146</v>
      </c>
      <c r="F40" s="18" t="s">
        <v>6</v>
      </c>
      <c r="G40" s="15" t="s">
        <v>43</v>
      </c>
      <c r="H40" s="12" t="s">
        <v>51</v>
      </c>
    </row>
    <row r="41" customFormat="false" ht="27.75" hidden="false" customHeight="true" outlineLevel="0" collapsed="false">
      <c r="A41" s="11" t="n">
        <v>40</v>
      </c>
      <c r="B41" s="12" t="s">
        <v>10</v>
      </c>
      <c r="C41" s="12" t="s">
        <v>40</v>
      </c>
      <c r="D41" s="13" t="s">
        <v>147</v>
      </c>
      <c r="E41" s="13" t="s">
        <v>148</v>
      </c>
      <c r="F41" s="17" t="s">
        <v>5</v>
      </c>
      <c r="G41" s="15" t="s">
        <v>43</v>
      </c>
      <c r="H41" s="12" t="s">
        <v>51</v>
      </c>
    </row>
    <row r="42" customFormat="false" ht="27.75" hidden="false" customHeight="true" outlineLevel="0" collapsed="false">
      <c r="A42" s="11" t="n">
        <v>41</v>
      </c>
      <c r="B42" s="12" t="s">
        <v>10</v>
      </c>
      <c r="C42" s="12" t="s">
        <v>149</v>
      </c>
      <c r="D42" s="13" t="s">
        <v>150</v>
      </c>
      <c r="E42" s="13" t="s">
        <v>151</v>
      </c>
      <c r="F42" s="17" t="s">
        <v>5</v>
      </c>
      <c r="G42" s="15" t="s">
        <v>43</v>
      </c>
      <c r="H42" s="12" t="s">
        <v>51</v>
      </c>
    </row>
    <row r="43" customFormat="false" ht="27.75" hidden="false" customHeight="true" outlineLevel="0" collapsed="false">
      <c r="A43" s="11" t="n">
        <v>42</v>
      </c>
      <c r="B43" s="12" t="s">
        <v>10</v>
      </c>
      <c r="C43" s="12" t="s">
        <v>152</v>
      </c>
      <c r="D43" s="13" t="s">
        <v>153</v>
      </c>
      <c r="E43" s="13" t="s">
        <v>154</v>
      </c>
      <c r="F43" s="17" t="s">
        <v>5</v>
      </c>
      <c r="G43" s="15" t="s">
        <v>58</v>
      </c>
      <c r="H43" s="16" t="s">
        <v>54</v>
      </c>
    </row>
    <row r="44" customFormat="false" ht="27.75" hidden="false" customHeight="true" outlineLevel="0" collapsed="false">
      <c r="A44" s="11" t="n">
        <v>43</v>
      </c>
      <c r="B44" s="12" t="s">
        <v>10</v>
      </c>
      <c r="C44" s="12" t="s">
        <v>88</v>
      </c>
      <c r="D44" s="13" t="s">
        <v>155</v>
      </c>
      <c r="E44" s="13" t="s">
        <v>156</v>
      </c>
      <c r="F44" s="18" t="s">
        <v>6</v>
      </c>
      <c r="G44" s="15" t="s">
        <v>43</v>
      </c>
      <c r="H44" s="12" t="s">
        <v>51</v>
      </c>
    </row>
    <row r="45" customFormat="false" ht="27.75" hidden="false" customHeight="true" outlineLevel="0" collapsed="false">
      <c r="A45" s="11" t="n">
        <v>44</v>
      </c>
      <c r="B45" s="12" t="s">
        <v>11</v>
      </c>
      <c r="C45" s="12" t="s">
        <v>157</v>
      </c>
      <c r="D45" s="13" t="s">
        <v>158</v>
      </c>
      <c r="E45" s="13" t="s">
        <v>159</v>
      </c>
      <c r="F45" s="17" t="s">
        <v>5</v>
      </c>
      <c r="G45" s="15" t="s">
        <v>58</v>
      </c>
      <c r="H45" s="12" t="s">
        <v>51</v>
      </c>
    </row>
    <row r="46" customFormat="false" ht="27.75" hidden="false" customHeight="true" outlineLevel="0" collapsed="false">
      <c r="A46" s="11" t="n">
        <v>45</v>
      </c>
      <c r="B46" s="12" t="s">
        <v>11</v>
      </c>
      <c r="C46" s="12" t="s">
        <v>40</v>
      </c>
      <c r="D46" s="13" t="s">
        <v>160</v>
      </c>
      <c r="E46" s="13" t="s">
        <v>161</v>
      </c>
      <c r="F46" s="14" t="s">
        <v>4</v>
      </c>
      <c r="G46" s="15" t="s">
        <v>58</v>
      </c>
      <c r="H46" s="12" t="s">
        <v>51</v>
      </c>
    </row>
    <row r="47" customFormat="false" ht="27.75" hidden="false" customHeight="true" outlineLevel="0" collapsed="false">
      <c r="A47" s="11" t="n">
        <v>46</v>
      </c>
      <c r="B47" s="12" t="s">
        <v>11</v>
      </c>
      <c r="C47" s="12" t="s">
        <v>48</v>
      </c>
      <c r="D47" s="13" t="s">
        <v>162</v>
      </c>
      <c r="E47" s="13" t="s">
        <v>163</v>
      </c>
      <c r="F47" s="14" t="s">
        <v>4</v>
      </c>
      <c r="G47" s="15" t="s">
        <v>43</v>
      </c>
      <c r="H47" s="12" t="s">
        <v>117</v>
      </c>
    </row>
    <row r="48" customFormat="false" ht="27.75" hidden="false" customHeight="true" outlineLevel="0" collapsed="false">
      <c r="A48" s="11" t="n">
        <v>47</v>
      </c>
      <c r="B48" s="12" t="s">
        <v>11</v>
      </c>
      <c r="C48" s="12" t="s">
        <v>164</v>
      </c>
      <c r="D48" s="13" t="s">
        <v>165</v>
      </c>
      <c r="E48" s="13" t="s">
        <v>166</v>
      </c>
      <c r="F48" s="18" t="s">
        <v>6</v>
      </c>
      <c r="G48" s="15" t="s">
        <v>43</v>
      </c>
      <c r="H48" s="12" t="s">
        <v>51</v>
      </c>
    </row>
    <row r="49" customFormat="false" ht="27.75" hidden="false" customHeight="true" outlineLevel="0" collapsed="false">
      <c r="A49" s="11" t="n">
        <v>48</v>
      </c>
      <c r="B49" s="12" t="s">
        <v>11</v>
      </c>
      <c r="C49" s="12" t="s">
        <v>167</v>
      </c>
      <c r="D49" s="13" t="s">
        <v>168</v>
      </c>
      <c r="E49" s="13" t="s">
        <v>169</v>
      </c>
      <c r="F49" s="17" t="s">
        <v>5</v>
      </c>
      <c r="G49" s="15" t="s">
        <v>58</v>
      </c>
      <c r="H49" s="12" t="s">
        <v>51</v>
      </c>
    </row>
    <row r="50" customFormat="false" ht="27.75" hidden="false" customHeight="true" outlineLevel="0" collapsed="false">
      <c r="A50" s="11" t="n">
        <v>49</v>
      </c>
      <c r="B50" s="12" t="s">
        <v>11</v>
      </c>
      <c r="C50" s="12" t="s">
        <v>170</v>
      </c>
      <c r="D50" s="13" t="s">
        <v>171</v>
      </c>
      <c r="E50" s="13" t="s">
        <v>172</v>
      </c>
      <c r="F50" s="17" t="s">
        <v>5</v>
      </c>
      <c r="G50" s="15" t="s">
        <v>43</v>
      </c>
      <c r="H50" s="12" t="s">
        <v>51</v>
      </c>
    </row>
    <row r="51" customFormat="false" ht="27.75" hidden="false" customHeight="true" outlineLevel="0" collapsed="false">
      <c r="A51" s="11" t="n">
        <v>50</v>
      </c>
      <c r="B51" s="12" t="s">
        <v>11</v>
      </c>
      <c r="C51" s="12" t="s">
        <v>40</v>
      </c>
      <c r="D51" s="13" t="s">
        <v>173</v>
      </c>
      <c r="E51" s="13" t="s">
        <v>174</v>
      </c>
      <c r="F51" s="18" t="s">
        <v>6</v>
      </c>
      <c r="G51" s="15" t="s">
        <v>43</v>
      </c>
      <c r="H51" s="16" t="s">
        <v>54</v>
      </c>
    </row>
    <row r="52" customFormat="false" ht="27.75" hidden="false" customHeight="true" outlineLevel="0" collapsed="false">
      <c r="A52" s="11" t="n">
        <v>51</v>
      </c>
      <c r="B52" s="12" t="s">
        <v>11</v>
      </c>
      <c r="C52" s="12" t="s">
        <v>175</v>
      </c>
      <c r="D52" s="13" t="s">
        <v>176</v>
      </c>
      <c r="E52" s="13" t="s">
        <v>177</v>
      </c>
      <c r="F52" s="18" t="s">
        <v>6</v>
      </c>
      <c r="G52" s="15" t="s">
        <v>43</v>
      </c>
      <c r="H52" s="16" t="s">
        <v>54</v>
      </c>
    </row>
    <row r="53" customFormat="false" ht="27.75" hidden="false" customHeight="true" outlineLevel="0" collapsed="false">
      <c r="A53" s="11" t="n">
        <v>52</v>
      </c>
      <c r="B53" s="12" t="s">
        <v>11</v>
      </c>
      <c r="C53" s="12" t="s">
        <v>102</v>
      </c>
      <c r="D53" s="13" t="s">
        <v>178</v>
      </c>
      <c r="E53" s="13" t="s">
        <v>179</v>
      </c>
      <c r="F53" s="17" t="s">
        <v>5</v>
      </c>
      <c r="G53" s="15" t="s">
        <v>43</v>
      </c>
      <c r="H53" s="12" t="s">
        <v>51</v>
      </c>
    </row>
    <row r="54" customFormat="false" ht="27.75" hidden="false" customHeight="true" outlineLevel="0" collapsed="false">
      <c r="A54" s="11" t="n">
        <v>53</v>
      </c>
      <c r="B54" s="12" t="s">
        <v>11</v>
      </c>
      <c r="C54" s="12" t="s">
        <v>40</v>
      </c>
      <c r="D54" s="13" t="s">
        <v>180</v>
      </c>
      <c r="E54" s="13" t="s">
        <v>181</v>
      </c>
      <c r="F54" s="14" t="s">
        <v>4</v>
      </c>
      <c r="G54" s="15" t="s">
        <v>58</v>
      </c>
      <c r="H54" s="12" t="s">
        <v>117</v>
      </c>
    </row>
    <row r="55" customFormat="false" ht="27.75" hidden="false" customHeight="true" outlineLevel="0" collapsed="false">
      <c r="A55" s="11" t="n">
        <v>54</v>
      </c>
      <c r="B55" s="12" t="s">
        <v>12</v>
      </c>
      <c r="C55" s="12" t="s">
        <v>59</v>
      </c>
      <c r="D55" s="13" t="s">
        <v>182</v>
      </c>
      <c r="E55" s="13" t="s">
        <v>183</v>
      </c>
      <c r="F55" s="14" t="s">
        <v>4</v>
      </c>
      <c r="G55" s="15" t="s">
        <v>43</v>
      </c>
      <c r="H55" s="12" t="s">
        <v>51</v>
      </c>
    </row>
    <row r="56" customFormat="false" ht="27.75" hidden="false" customHeight="true" outlineLevel="0" collapsed="false">
      <c r="A56" s="11" t="n">
        <v>55</v>
      </c>
      <c r="B56" s="12" t="s">
        <v>12</v>
      </c>
      <c r="C56" s="12" t="s">
        <v>59</v>
      </c>
      <c r="D56" s="13" t="s">
        <v>184</v>
      </c>
      <c r="E56" s="13" t="s">
        <v>185</v>
      </c>
      <c r="F56" s="14" t="s">
        <v>4</v>
      </c>
      <c r="G56" s="15" t="s">
        <v>43</v>
      </c>
      <c r="H56" s="12" t="s">
        <v>51</v>
      </c>
    </row>
    <row r="57" customFormat="false" ht="27.75" hidden="false" customHeight="true" outlineLevel="0" collapsed="false">
      <c r="A57" s="11" t="n">
        <v>56</v>
      </c>
      <c r="B57" s="12" t="s">
        <v>12</v>
      </c>
      <c r="C57" s="12" t="s">
        <v>59</v>
      </c>
      <c r="D57" s="13" t="s">
        <v>186</v>
      </c>
      <c r="E57" s="13" t="s">
        <v>187</v>
      </c>
      <c r="F57" s="17" t="s">
        <v>5</v>
      </c>
      <c r="G57" s="15" t="s">
        <v>43</v>
      </c>
      <c r="H57" s="12" t="s">
        <v>51</v>
      </c>
    </row>
    <row r="58" customFormat="false" ht="27.75" hidden="false" customHeight="true" outlineLevel="0" collapsed="false">
      <c r="A58" s="11" t="n">
        <v>57</v>
      </c>
      <c r="B58" s="12" t="s">
        <v>12</v>
      </c>
      <c r="C58" s="12" t="s">
        <v>59</v>
      </c>
      <c r="D58" s="13" t="s">
        <v>188</v>
      </c>
      <c r="E58" s="13" t="s">
        <v>189</v>
      </c>
      <c r="F58" s="17" t="s">
        <v>5</v>
      </c>
      <c r="G58" s="15" t="s">
        <v>43</v>
      </c>
      <c r="H58" s="12" t="s">
        <v>51</v>
      </c>
    </row>
    <row r="59" customFormat="false" ht="27.75" hidden="false" customHeight="true" outlineLevel="0" collapsed="false">
      <c r="A59" s="11" t="n">
        <v>58</v>
      </c>
      <c r="B59" s="12" t="s">
        <v>12</v>
      </c>
      <c r="C59" s="12" t="s">
        <v>40</v>
      </c>
      <c r="D59" s="13" t="s">
        <v>190</v>
      </c>
      <c r="E59" s="13" t="s">
        <v>191</v>
      </c>
      <c r="F59" s="14" t="s">
        <v>4</v>
      </c>
      <c r="G59" s="15" t="s">
        <v>43</v>
      </c>
      <c r="H59" s="12" t="s">
        <v>51</v>
      </c>
    </row>
    <row r="60" customFormat="false" ht="27.75" hidden="false" customHeight="true" outlineLevel="0" collapsed="false">
      <c r="A60" s="11" t="n">
        <v>59</v>
      </c>
      <c r="B60" s="12" t="s">
        <v>12</v>
      </c>
      <c r="C60" s="12" t="s">
        <v>130</v>
      </c>
      <c r="D60" s="13" t="s">
        <v>192</v>
      </c>
      <c r="E60" s="13" t="s">
        <v>193</v>
      </c>
      <c r="F60" s="17" t="s">
        <v>5</v>
      </c>
      <c r="G60" s="15" t="s">
        <v>43</v>
      </c>
      <c r="H60" s="12" t="s">
        <v>51</v>
      </c>
    </row>
    <row r="61" customFormat="false" ht="27.75" hidden="false" customHeight="true" outlineLevel="0" collapsed="false">
      <c r="A61" s="11" t="n">
        <v>60</v>
      </c>
      <c r="B61" s="12" t="s">
        <v>12</v>
      </c>
      <c r="C61" s="12" t="s">
        <v>194</v>
      </c>
      <c r="D61" s="13" t="s">
        <v>195</v>
      </c>
      <c r="E61" s="13" t="s">
        <v>196</v>
      </c>
      <c r="F61" s="17" t="s">
        <v>5</v>
      </c>
      <c r="G61" s="15" t="s">
        <v>43</v>
      </c>
      <c r="H61" s="12" t="s">
        <v>51</v>
      </c>
    </row>
    <row r="62" customFormat="false" ht="27.75" hidden="false" customHeight="true" outlineLevel="0" collapsed="false">
      <c r="A62" s="11" t="n">
        <v>61</v>
      </c>
      <c r="B62" s="12" t="s">
        <v>12</v>
      </c>
      <c r="C62" s="12" t="s">
        <v>130</v>
      </c>
      <c r="D62" s="13" t="s">
        <v>197</v>
      </c>
      <c r="E62" s="13" t="s">
        <v>198</v>
      </c>
      <c r="F62" s="14" t="s">
        <v>4</v>
      </c>
      <c r="G62" s="15" t="s">
        <v>43</v>
      </c>
      <c r="H62" s="12" t="s">
        <v>51</v>
      </c>
    </row>
    <row r="63" customFormat="false" ht="27.75" hidden="false" customHeight="true" outlineLevel="0" collapsed="false">
      <c r="A63" s="11" t="n">
        <v>62</v>
      </c>
      <c r="B63" s="12" t="s">
        <v>12</v>
      </c>
      <c r="C63" s="12" t="s">
        <v>130</v>
      </c>
      <c r="D63" s="13" t="s">
        <v>199</v>
      </c>
      <c r="E63" s="13" t="s">
        <v>200</v>
      </c>
      <c r="F63" s="14" t="s">
        <v>4</v>
      </c>
      <c r="G63" s="15" t="s">
        <v>58</v>
      </c>
      <c r="H63" s="12" t="s">
        <v>51</v>
      </c>
    </row>
    <row r="64" customFormat="false" ht="27.75" hidden="false" customHeight="true" outlineLevel="0" collapsed="false">
      <c r="A64" s="11" t="n">
        <v>63</v>
      </c>
      <c r="B64" s="12" t="s">
        <v>12</v>
      </c>
      <c r="C64" s="12" t="s">
        <v>40</v>
      </c>
      <c r="D64" s="13" t="s">
        <v>201</v>
      </c>
      <c r="E64" s="13" t="s">
        <v>202</v>
      </c>
      <c r="F64" s="14" t="s">
        <v>4</v>
      </c>
      <c r="G64" s="15" t="s">
        <v>58</v>
      </c>
      <c r="H64" s="12" t="s">
        <v>51</v>
      </c>
    </row>
    <row r="65" customFormat="false" ht="27.75" hidden="false" customHeight="true" outlineLevel="0" collapsed="false">
      <c r="A65" s="11" t="n">
        <v>64</v>
      </c>
      <c r="B65" s="12" t="s">
        <v>12</v>
      </c>
      <c r="C65" s="12" t="s">
        <v>40</v>
      </c>
      <c r="D65" s="13" t="s">
        <v>203</v>
      </c>
      <c r="E65" s="13" t="s">
        <v>204</v>
      </c>
      <c r="F65" s="17" t="s">
        <v>5</v>
      </c>
      <c r="G65" s="15" t="s">
        <v>43</v>
      </c>
      <c r="H65" s="12" t="s">
        <v>51</v>
      </c>
    </row>
    <row r="66" customFormat="false" ht="27.75" hidden="false" customHeight="true" outlineLevel="0" collapsed="false">
      <c r="A66" s="11" t="n">
        <v>65</v>
      </c>
      <c r="B66" s="12" t="s">
        <v>12</v>
      </c>
      <c r="C66" s="12" t="s">
        <v>40</v>
      </c>
      <c r="D66" s="13" t="s">
        <v>205</v>
      </c>
      <c r="E66" s="13" t="s">
        <v>206</v>
      </c>
      <c r="F66" s="17" t="s">
        <v>5</v>
      </c>
      <c r="G66" s="15" t="s">
        <v>58</v>
      </c>
      <c r="H66" s="12" t="s">
        <v>117</v>
      </c>
    </row>
    <row r="67" customFormat="false" ht="27.75" hidden="false" customHeight="true" outlineLevel="0" collapsed="false">
      <c r="A67" s="11" t="n">
        <v>66</v>
      </c>
      <c r="B67" s="12" t="s">
        <v>12</v>
      </c>
      <c r="C67" s="12" t="s">
        <v>207</v>
      </c>
      <c r="D67" s="13" t="s">
        <v>208</v>
      </c>
      <c r="E67" s="13" t="s">
        <v>209</v>
      </c>
      <c r="F67" s="17" t="s">
        <v>5</v>
      </c>
      <c r="G67" s="15" t="s">
        <v>43</v>
      </c>
      <c r="H67" s="12" t="s">
        <v>51</v>
      </c>
    </row>
    <row r="68" customFormat="false" ht="27.75" hidden="false" customHeight="true" outlineLevel="0" collapsed="false">
      <c r="A68" s="11" t="n">
        <v>67</v>
      </c>
      <c r="B68" s="12" t="s">
        <v>12</v>
      </c>
      <c r="C68" s="12" t="s">
        <v>130</v>
      </c>
      <c r="D68" s="13" t="s">
        <v>210</v>
      </c>
      <c r="E68" s="13" t="s">
        <v>211</v>
      </c>
      <c r="F68" s="18" t="s">
        <v>6</v>
      </c>
      <c r="G68" s="15" t="s">
        <v>43</v>
      </c>
      <c r="H68" s="12" t="s">
        <v>51</v>
      </c>
    </row>
    <row r="69" customFormat="false" ht="27.75" hidden="false" customHeight="true" outlineLevel="0" collapsed="false">
      <c r="A69" s="11" t="n">
        <v>68</v>
      </c>
      <c r="B69" s="12" t="s">
        <v>13</v>
      </c>
      <c r="C69" s="12" t="s">
        <v>212</v>
      </c>
      <c r="D69" s="13" t="s">
        <v>213</v>
      </c>
      <c r="E69" s="13" t="s">
        <v>214</v>
      </c>
      <c r="F69" s="14" t="s">
        <v>4</v>
      </c>
      <c r="G69" s="15" t="s">
        <v>215</v>
      </c>
      <c r="H69" s="12" t="s">
        <v>51</v>
      </c>
    </row>
    <row r="70" customFormat="false" ht="27.75" hidden="false" customHeight="true" outlineLevel="0" collapsed="false">
      <c r="A70" s="11" t="n">
        <v>69</v>
      </c>
      <c r="B70" s="12" t="s">
        <v>13</v>
      </c>
      <c r="C70" s="12" t="s">
        <v>102</v>
      </c>
      <c r="D70" s="13" t="s">
        <v>216</v>
      </c>
      <c r="E70" s="13" t="s">
        <v>217</v>
      </c>
      <c r="F70" s="14" t="s">
        <v>4</v>
      </c>
      <c r="G70" s="15" t="s">
        <v>58</v>
      </c>
      <c r="H70" s="12" t="s">
        <v>51</v>
      </c>
    </row>
    <row r="71" customFormat="false" ht="27.75" hidden="false" customHeight="true" outlineLevel="0" collapsed="false">
      <c r="A71" s="11" t="n">
        <v>70</v>
      </c>
      <c r="B71" s="12" t="s">
        <v>13</v>
      </c>
      <c r="C71" s="12" t="s">
        <v>102</v>
      </c>
      <c r="D71" s="13" t="s">
        <v>218</v>
      </c>
      <c r="E71" s="13" t="s">
        <v>219</v>
      </c>
      <c r="F71" s="14" t="s">
        <v>4</v>
      </c>
      <c r="G71" s="15" t="s">
        <v>43</v>
      </c>
      <c r="H71" s="12" t="s">
        <v>51</v>
      </c>
    </row>
    <row r="72" customFormat="false" ht="27.75" hidden="false" customHeight="true" outlineLevel="0" collapsed="false">
      <c r="A72" s="11" t="n">
        <v>71</v>
      </c>
      <c r="B72" s="12" t="s">
        <v>13</v>
      </c>
      <c r="C72" s="12" t="s">
        <v>102</v>
      </c>
      <c r="D72" s="13" t="s">
        <v>220</v>
      </c>
      <c r="E72" s="13" t="s">
        <v>221</v>
      </c>
      <c r="F72" s="14" t="s">
        <v>4</v>
      </c>
      <c r="G72" s="15" t="s">
        <v>58</v>
      </c>
      <c r="H72" s="12" t="s">
        <v>51</v>
      </c>
    </row>
    <row r="73" customFormat="false" ht="27.75" hidden="false" customHeight="true" outlineLevel="0" collapsed="false">
      <c r="A73" s="11" t="n">
        <v>72</v>
      </c>
      <c r="B73" s="12" t="s">
        <v>13</v>
      </c>
      <c r="C73" s="12" t="s">
        <v>102</v>
      </c>
      <c r="D73" s="13" t="s">
        <v>222</v>
      </c>
      <c r="E73" s="13" t="s">
        <v>223</v>
      </c>
      <c r="F73" s="17" t="s">
        <v>5</v>
      </c>
      <c r="G73" s="15" t="s">
        <v>58</v>
      </c>
      <c r="H73" s="12" t="s">
        <v>51</v>
      </c>
    </row>
    <row r="74" customFormat="false" ht="27.75" hidden="false" customHeight="true" outlineLevel="0" collapsed="false">
      <c r="A74" s="11" t="n">
        <v>73</v>
      </c>
      <c r="B74" s="12" t="s">
        <v>13</v>
      </c>
      <c r="C74" s="12" t="s">
        <v>102</v>
      </c>
      <c r="D74" s="13" t="s">
        <v>224</v>
      </c>
      <c r="E74" s="13" t="s">
        <v>225</v>
      </c>
      <c r="F74" s="17" t="s">
        <v>5</v>
      </c>
      <c r="G74" s="15" t="s">
        <v>58</v>
      </c>
      <c r="H74" s="12" t="s">
        <v>51</v>
      </c>
    </row>
    <row r="75" customFormat="false" ht="27.75" hidden="false" customHeight="true" outlineLevel="0" collapsed="false">
      <c r="A75" s="11" t="n">
        <v>74</v>
      </c>
      <c r="B75" s="12" t="s">
        <v>13</v>
      </c>
      <c r="C75" s="12" t="s">
        <v>226</v>
      </c>
      <c r="D75" s="13" t="s">
        <v>227</v>
      </c>
      <c r="E75" s="13" t="s">
        <v>228</v>
      </c>
      <c r="F75" s="17" t="s">
        <v>5</v>
      </c>
      <c r="G75" s="15" t="s">
        <v>58</v>
      </c>
      <c r="H75" s="12" t="s">
        <v>51</v>
      </c>
    </row>
    <row r="76" customFormat="false" ht="27.75" hidden="false" customHeight="true" outlineLevel="0" collapsed="false">
      <c r="A76" s="11" t="n">
        <v>75</v>
      </c>
      <c r="B76" s="12" t="s">
        <v>13</v>
      </c>
      <c r="C76" s="12" t="s">
        <v>226</v>
      </c>
      <c r="D76" s="13" t="s">
        <v>229</v>
      </c>
      <c r="E76" s="13" t="s">
        <v>230</v>
      </c>
      <c r="F76" s="17" t="s">
        <v>5</v>
      </c>
      <c r="G76" s="15" t="s">
        <v>58</v>
      </c>
      <c r="H76" s="12" t="s">
        <v>51</v>
      </c>
    </row>
    <row r="77" customFormat="false" ht="27.75" hidden="false" customHeight="true" outlineLevel="0" collapsed="false">
      <c r="A77" s="11" t="n">
        <v>76</v>
      </c>
      <c r="B77" s="12" t="s">
        <v>13</v>
      </c>
      <c r="C77" s="12" t="s">
        <v>231</v>
      </c>
      <c r="D77" s="13" t="s">
        <v>232</v>
      </c>
      <c r="E77" s="13" t="s">
        <v>233</v>
      </c>
      <c r="F77" s="17" t="s">
        <v>5</v>
      </c>
      <c r="G77" s="15" t="s">
        <v>215</v>
      </c>
      <c r="H77" s="12" t="s">
        <v>51</v>
      </c>
    </row>
    <row r="78" customFormat="false" ht="27.75" hidden="false" customHeight="true" outlineLevel="0" collapsed="false">
      <c r="A78" s="11" t="n">
        <v>77</v>
      </c>
      <c r="B78" s="12" t="s">
        <v>13</v>
      </c>
      <c r="C78" s="12" t="s">
        <v>231</v>
      </c>
      <c r="D78" s="13" t="s">
        <v>234</v>
      </c>
      <c r="E78" s="13" t="s">
        <v>235</v>
      </c>
      <c r="F78" s="18" t="s">
        <v>6</v>
      </c>
      <c r="G78" s="15" t="s">
        <v>43</v>
      </c>
      <c r="H78" s="12" t="s">
        <v>51</v>
      </c>
    </row>
    <row r="79" customFormat="false" ht="27.75" hidden="false" customHeight="true" outlineLevel="0" collapsed="false">
      <c r="A79" s="11" t="n">
        <v>78</v>
      </c>
      <c r="B79" s="12" t="s">
        <v>13</v>
      </c>
      <c r="C79" s="12" t="s">
        <v>40</v>
      </c>
      <c r="D79" s="13" t="s">
        <v>236</v>
      </c>
      <c r="E79" s="13" t="s">
        <v>237</v>
      </c>
      <c r="F79" s="17" t="s">
        <v>5</v>
      </c>
      <c r="G79" s="15" t="s">
        <v>43</v>
      </c>
      <c r="H79" s="12" t="s">
        <v>117</v>
      </c>
    </row>
    <row r="80" customFormat="false" ht="27.75" hidden="false" customHeight="true" outlineLevel="0" collapsed="false">
      <c r="A80" s="11" t="n">
        <v>79</v>
      </c>
      <c r="B80" s="12" t="s">
        <v>13</v>
      </c>
      <c r="C80" s="12" t="s">
        <v>40</v>
      </c>
      <c r="D80" s="13" t="s">
        <v>238</v>
      </c>
      <c r="E80" s="13" t="s">
        <v>239</v>
      </c>
      <c r="F80" s="17" t="s">
        <v>5</v>
      </c>
      <c r="G80" s="15" t="s">
        <v>58</v>
      </c>
      <c r="H80" s="12" t="s">
        <v>117</v>
      </c>
    </row>
    <row r="81" customFormat="false" ht="27.75" hidden="false" customHeight="true" outlineLevel="0" collapsed="false">
      <c r="A81" s="11" t="n">
        <v>80</v>
      </c>
      <c r="B81" s="12" t="s">
        <v>13</v>
      </c>
      <c r="C81" s="12" t="s">
        <v>40</v>
      </c>
      <c r="D81" s="13" t="s">
        <v>240</v>
      </c>
      <c r="E81" s="13" t="s">
        <v>241</v>
      </c>
      <c r="F81" s="17" t="s">
        <v>5</v>
      </c>
      <c r="G81" s="15" t="s">
        <v>43</v>
      </c>
      <c r="H81" s="12" t="s">
        <v>117</v>
      </c>
    </row>
    <row r="82" customFormat="false" ht="27.75" hidden="false" customHeight="true" outlineLevel="0" collapsed="false">
      <c r="A82" s="11" t="n">
        <v>81</v>
      </c>
      <c r="B82" s="12" t="s">
        <v>13</v>
      </c>
      <c r="C82" s="12" t="s">
        <v>130</v>
      </c>
      <c r="D82" s="13" t="s">
        <v>242</v>
      </c>
      <c r="E82" s="13" t="s">
        <v>243</v>
      </c>
      <c r="F82" s="14" t="s">
        <v>4</v>
      </c>
      <c r="G82" s="15" t="s">
        <v>58</v>
      </c>
      <c r="H82" s="12" t="s">
        <v>51</v>
      </c>
    </row>
    <row r="83" customFormat="false" ht="27.75" hidden="false" customHeight="true" outlineLevel="0" collapsed="false">
      <c r="A83" s="11" t="n">
        <v>82</v>
      </c>
      <c r="B83" s="12" t="s">
        <v>14</v>
      </c>
      <c r="C83" s="12" t="s">
        <v>212</v>
      </c>
      <c r="D83" s="13" t="s">
        <v>244</v>
      </c>
      <c r="E83" s="13" t="s">
        <v>245</v>
      </c>
      <c r="F83" s="17" t="s">
        <v>5</v>
      </c>
      <c r="G83" s="15" t="s">
        <v>58</v>
      </c>
      <c r="H83" s="12" t="s">
        <v>51</v>
      </c>
    </row>
    <row r="84" customFormat="false" ht="27.75" hidden="false" customHeight="true" outlineLevel="0" collapsed="false">
      <c r="A84" s="11" t="n">
        <v>83</v>
      </c>
      <c r="B84" s="12" t="s">
        <v>14</v>
      </c>
      <c r="C84" s="12" t="s">
        <v>212</v>
      </c>
      <c r="D84" s="13" t="s">
        <v>246</v>
      </c>
      <c r="E84" s="13" t="s">
        <v>247</v>
      </c>
      <c r="F84" s="14" t="s">
        <v>4</v>
      </c>
      <c r="G84" s="15" t="s">
        <v>58</v>
      </c>
      <c r="H84" s="12" t="s">
        <v>117</v>
      </c>
    </row>
    <row r="85" customFormat="false" ht="27.75" hidden="false" customHeight="true" outlineLevel="0" collapsed="false">
      <c r="A85" s="11" t="n">
        <v>84</v>
      </c>
      <c r="B85" s="12" t="s">
        <v>14</v>
      </c>
      <c r="C85" s="12" t="s">
        <v>212</v>
      </c>
      <c r="D85" s="13" t="s">
        <v>248</v>
      </c>
      <c r="E85" s="13" t="s">
        <v>249</v>
      </c>
      <c r="F85" s="17" t="s">
        <v>5</v>
      </c>
      <c r="G85" s="15" t="s">
        <v>58</v>
      </c>
      <c r="H85" s="12" t="s">
        <v>51</v>
      </c>
    </row>
    <row r="86" customFormat="false" ht="27.75" hidden="false" customHeight="true" outlineLevel="0" collapsed="false">
      <c r="A86" s="11" t="n">
        <v>85</v>
      </c>
      <c r="B86" s="12" t="s">
        <v>14</v>
      </c>
      <c r="C86" s="12" t="s">
        <v>212</v>
      </c>
      <c r="D86" s="13" t="s">
        <v>250</v>
      </c>
      <c r="E86" s="13" t="s">
        <v>251</v>
      </c>
      <c r="F86" s="17" t="s">
        <v>5</v>
      </c>
      <c r="G86" s="15" t="s">
        <v>58</v>
      </c>
      <c r="H86" s="12" t="s">
        <v>51</v>
      </c>
    </row>
    <row r="87" customFormat="false" ht="27.75" hidden="false" customHeight="true" outlineLevel="0" collapsed="false">
      <c r="A87" s="11" t="n">
        <v>86</v>
      </c>
      <c r="B87" s="12" t="s">
        <v>14</v>
      </c>
      <c r="C87" s="12" t="s">
        <v>212</v>
      </c>
      <c r="D87" s="13" t="s">
        <v>252</v>
      </c>
      <c r="E87" s="13" t="s">
        <v>253</v>
      </c>
      <c r="F87" s="17" t="s">
        <v>5</v>
      </c>
      <c r="G87" s="15" t="s">
        <v>43</v>
      </c>
      <c r="H87" s="12" t="s">
        <v>51</v>
      </c>
    </row>
    <row r="88" customFormat="false" ht="27.75" hidden="false" customHeight="true" outlineLevel="0" collapsed="false">
      <c r="A88" s="11" t="n">
        <v>87</v>
      </c>
      <c r="B88" s="12" t="s">
        <v>14</v>
      </c>
      <c r="C88" s="12" t="s">
        <v>254</v>
      </c>
      <c r="D88" s="13" t="s">
        <v>255</v>
      </c>
      <c r="E88" s="13" t="s">
        <v>256</v>
      </c>
      <c r="F88" s="18" t="s">
        <v>6</v>
      </c>
      <c r="G88" s="15" t="s">
        <v>43</v>
      </c>
      <c r="H88" s="12" t="s">
        <v>51</v>
      </c>
    </row>
    <row r="89" customFormat="false" ht="27.75" hidden="false" customHeight="true" outlineLevel="0" collapsed="false">
      <c r="A89" s="11" t="n">
        <v>88</v>
      </c>
      <c r="B89" s="12" t="s">
        <v>15</v>
      </c>
      <c r="C89" s="12" t="s">
        <v>257</v>
      </c>
      <c r="D89" s="13" t="s">
        <v>258</v>
      </c>
      <c r="E89" s="13" t="s">
        <v>259</v>
      </c>
      <c r="F89" s="14" t="s">
        <v>4</v>
      </c>
      <c r="G89" s="15" t="s">
        <v>58</v>
      </c>
      <c r="H89" s="12" t="s">
        <v>51</v>
      </c>
    </row>
    <row r="90" customFormat="false" ht="27.75" hidden="false" customHeight="true" outlineLevel="0" collapsed="false">
      <c r="A90" s="11" t="n">
        <v>89</v>
      </c>
      <c r="B90" s="12" t="s">
        <v>15</v>
      </c>
      <c r="C90" s="12" t="s">
        <v>260</v>
      </c>
      <c r="D90" s="13" t="s">
        <v>261</v>
      </c>
      <c r="E90" s="13" t="s">
        <v>262</v>
      </c>
      <c r="F90" s="14" t="s">
        <v>4</v>
      </c>
      <c r="G90" s="15" t="s">
        <v>58</v>
      </c>
      <c r="H90" s="12" t="s">
        <v>51</v>
      </c>
    </row>
    <row r="91" customFormat="false" ht="27.75" hidden="false" customHeight="true" outlineLevel="0" collapsed="false">
      <c r="A91" s="11" t="n">
        <v>90</v>
      </c>
      <c r="B91" s="12" t="s">
        <v>15</v>
      </c>
      <c r="C91" s="12" t="s">
        <v>260</v>
      </c>
      <c r="D91" s="13" t="s">
        <v>263</v>
      </c>
      <c r="E91" s="13" t="s">
        <v>264</v>
      </c>
      <c r="F91" s="14" t="s">
        <v>4</v>
      </c>
      <c r="G91" s="15" t="s">
        <v>58</v>
      </c>
      <c r="H91" s="12" t="s">
        <v>117</v>
      </c>
    </row>
    <row r="92" customFormat="false" ht="27.75" hidden="false" customHeight="true" outlineLevel="0" collapsed="false">
      <c r="A92" s="11" t="n">
        <v>91</v>
      </c>
      <c r="B92" s="12" t="s">
        <v>15</v>
      </c>
      <c r="C92" s="12" t="s">
        <v>260</v>
      </c>
      <c r="D92" s="13" t="s">
        <v>265</v>
      </c>
      <c r="E92" s="13" t="s">
        <v>266</v>
      </c>
      <c r="F92" s="17" t="s">
        <v>5</v>
      </c>
      <c r="G92" s="15" t="s">
        <v>58</v>
      </c>
      <c r="H92" s="12" t="s">
        <v>51</v>
      </c>
    </row>
    <row r="93" customFormat="false" ht="27.75" hidden="false" customHeight="true" outlineLevel="0" collapsed="false">
      <c r="A93" s="11" t="n">
        <v>92</v>
      </c>
      <c r="B93" s="12" t="s">
        <v>15</v>
      </c>
      <c r="C93" s="12" t="s">
        <v>257</v>
      </c>
      <c r="D93" s="13" t="s">
        <v>267</v>
      </c>
      <c r="E93" s="13" t="s">
        <v>268</v>
      </c>
      <c r="F93" s="17" t="s">
        <v>5</v>
      </c>
      <c r="G93" s="15" t="s">
        <v>215</v>
      </c>
      <c r="H93" s="12" t="s">
        <v>51</v>
      </c>
    </row>
    <row r="94" customFormat="false" ht="27.75" hidden="false" customHeight="true" outlineLevel="0" collapsed="false">
      <c r="A94" s="11" t="n">
        <v>93</v>
      </c>
      <c r="B94" s="12" t="s">
        <v>15</v>
      </c>
      <c r="C94" s="12" t="s">
        <v>257</v>
      </c>
      <c r="D94" s="13" t="s">
        <v>269</v>
      </c>
      <c r="E94" s="13" t="s">
        <v>270</v>
      </c>
      <c r="F94" s="17" t="s">
        <v>5</v>
      </c>
      <c r="G94" s="15" t="s">
        <v>43</v>
      </c>
      <c r="H94" s="12" t="s">
        <v>51</v>
      </c>
    </row>
    <row r="95" customFormat="false" ht="27.75" hidden="false" customHeight="true" outlineLevel="0" collapsed="false">
      <c r="A95" s="11" t="n">
        <v>94</v>
      </c>
      <c r="B95" s="12" t="s">
        <v>15</v>
      </c>
      <c r="C95" s="12" t="s">
        <v>257</v>
      </c>
      <c r="D95" s="13" t="s">
        <v>271</v>
      </c>
      <c r="E95" s="13" t="s">
        <v>272</v>
      </c>
      <c r="F95" s="18" t="s">
        <v>6</v>
      </c>
      <c r="G95" s="15" t="s">
        <v>58</v>
      </c>
      <c r="H95" s="12" t="s">
        <v>117</v>
      </c>
    </row>
    <row r="96" customFormat="false" ht="27.75" hidden="false" customHeight="true" outlineLevel="0" collapsed="false">
      <c r="A96" s="11" t="n">
        <v>95</v>
      </c>
      <c r="B96" s="12" t="s">
        <v>16</v>
      </c>
      <c r="C96" s="12" t="s">
        <v>85</v>
      </c>
      <c r="D96" s="13" t="s">
        <v>273</v>
      </c>
      <c r="E96" s="13" t="s">
        <v>274</v>
      </c>
      <c r="F96" s="17" t="s">
        <v>5</v>
      </c>
      <c r="G96" s="15" t="s">
        <v>58</v>
      </c>
      <c r="H96" s="12" t="s">
        <v>51</v>
      </c>
    </row>
    <row r="97" customFormat="false" ht="27.75" hidden="false" customHeight="true" outlineLevel="0" collapsed="false">
      <c r="A97" s="11" t="n">
        <v>96</v>
      </c>
      <c r="B97" s="12" t="s">
        <v>16</v>
      </c>
      <c r="C97" s="12" t="s">
        <v>85</v>
      </c>
      <c r="D97" s="13" t="s">
        <v>275</v>
      </c>
      <c r="E97" s="13" t="s">
        <v>276</v>
      </c>
      <c r="F97" s="14" t="s">
        <v>4</v>
      </c>
      <c r="G97" s="15" t="s">
        <v>43</v>
      </c>
      <c r="H97" s="12" t="s">
        <v>51</v>
      </c>
    </row>
    <row r="98" customFormat="false" ht="27.75" hidden="false" customHeight="true" outlineLevel="0" collapsed="false">
      <c r="A98" s="11" t="n">
        <v>97</v>
      </c>
      <c r="B98" s="12" t="s">
        <v>16</v>
      </c>
      <c r="C98" s="12" t="s">
        <v>85</v>
      </c>
      <c r="D98" s="13" t="s">
        <v>277</v>
      </c>
      <c r="E98" s="13" t="s">
        <v>278</v>
      </c>
      <c r="F98" s="17" t="s">
        <v>5</v>
      </c>
      <c r="G98" s="15" t="s">
        <v>43</v>
      </c>
      <c r="H98" s="12" t="s">
        <v>51</v>
      </c>
    </row>
    <row r="99" customFormat="false" ht="27.75" hidden="false" customHeight="true" outlineLevel="0" collapsed="false">
      <c r="A99" s="11" t="n">
        <v>98</v>
      </c>
      <c r="B99" s="12" t="s">
        <v>16</v>
      </c>
      <c r="C99" s="12" t="s">
        <v>85</v>
      </c>
      <c r="D99" s="13" t="s">
        <v>279</v>
      </c>
      <c r="E99" s="13" t="s">
        <v>280</v>
      </c>
      <c r="F99" s="17" t="s">
        <v>5</v>
      </c>
      <c r="G99" s="15" t="s">
        <v>43</v>
      </c>
      <c r="H99" s="12" t="s">
        <v>51</v>
      </c>
    </row>
    <row r="100" customFormat="false" ht="27.75" hidden="false" customHeight="true" outlineLevel="0" collapsed="false">
      <c r="A100" s="11" t="n">
        <v>99</v>
      </c>
      <c r="B100" s="12" t="s">
        <v>16</v>
      </c>
      <c r="C100" s="12" t="s">
        <v>281</v>
      </c>
      <c r="D100" s="13" t="s">
        <v>282</v>
      </c>
      <c r="E100" s="13" t="s">
        <v>283</v>
      </c>
      <c r="F100" s="17" t="s">
        <v>5</v>
      </c>
      <c r="G100" s="15" t="s">
        <v>58</v>
      </c>
      <c r="H100" s="12" t="s">
        <v>51</v>
      </c>
    </row>
    <row r="101" customFormat="false" ht="27.75" hidden="false" customHeight="true" outlineLevel="0" collapsed="false">
      <c r="A101" s="11" t="n">
        <v>100</v>
      </c>
      <c r="B101" s="12" t="s">
        <v>16</v>
      </c>
      <c r="C101" s="12" t="s">
        <v>281</v>
      </c>
      <c r="D101" s="13" t="s">
        <v>284</v>
      </c>
      <c r="E101" s="13" t="s">
        <v>285</v>
      </c>
      <c r="F101" s="17" t="s">
        <v>5</v>
      </c>
      <c r="G101" s="15" t="s">
        <v>43</v>
      </c>
      <c r="H101" s="16" t="s">
        <v>54</v>
      </c>
    </row>
    <row r="102" customFormat="false" ht="27.75" hidden="false" customHeight="true" outlineLevel="0" collapsed="false">
      <c r="A102" s="11" t="n">
        <v>101</v>
      </c>
      <c r="B102" s="12" t="s">
        <v>16</v>
      </c>
      <c r="C102" s="12" t="s">
        <v>85</v>
      </c>
      <c r="D102" s="13" t="s">
        <v>286</v>
      </c>
      <c r="E102" s="13" t="s">
        <v>287</v>
      </c>
      <c r="F102" s="18" t="s">
        <v>6</v>
      </c>
      <c r="G102" s="15" t="s">
        <v>43</v>
      </c>
      <c r="H102" s="16" t="s">
        <v>54</v>
      </c>
    </row>
    <row r="103" customFormat="false" ht="27.75" hidden="false" customHeight="true" outlineLevel="0" collapsed="false">
      <c r="A103" s="11" t="n">
        <v>102</v>
      </c>
      <c r="B103" s="12" t="s">
        <v>16</v>
      </c>
      <c r="C103" s="12" t="s">
        <v>85</v>
      </c>
      <c r="D103" s="13" t="s">
        <v>288</v>
      </c>
      <c r="E103" s="13" t="s">
        <v>289</v>
      </c>
      <c r="F103" s="17" t="s">
        <v>5</v>
      </c>
      <c r="G103" s="15" t="s">
        <v>43</v>
      </c>
      <c r="H103" s="12" t="s">
        <v>51</v>
      </c>
    </row>
    <row r="104" customFormat="false" ht="27.75" hidden="false" customHeight="true" outlineLevel="0" collapsed="false">
      <c r="A104" s="11" t="n">
        <v>103</v>
      </c>
      <c r="B104" s="12" t="s">
        <v>17</v>
      </c>
      <c r="C104" s="12" t="s">
        <v>40</v>
      </c>
      <c r="D104" s="13" t="s">
        <v>290</v>
      </c>
      <c r="E104" s="13" t="s">
        <v>291</v>
      </c>
      <c r="F104" s="14" t="s">
        <v>4</v>
      </c>
      <c r="G104" s="15" t="s">
        <v>58</v>
      </c>
      <c r="H104" s="16" t="s">
        <v>54</v>
      </c>
    </row>
    <row r="105" customFormat="false" ht="27.75" hidden="false" customHeight="true" outlineLevel="0" collapsed="false">
      <c r="A105" s="11" t="n">
        <v>104</v>
      </c>
      <c r="B105" s="12" t="s">
        <v>17</v>
      </c>
      <c r="C105" s="12" t="s">
        <v>40</v>
      </c>
      <c r="D105" s="13" t="s">
        <v>292</v>
      </c>
      <c r="E105" s="13" t="s">
        <v>293</v>
      </c>
      <c r="F105" s="14" t="s">
        <v>4</v>
      </c>
      <c r="G105" s="15" t="s">
        <v>43</v>
      </c>
      <c r="H105" s="16" t="s">
        <v>54</v>
      </c>
    </row>
    <row r="106" customFormat="false" ht="27.75" hidden="false" customHeight="true" outlineLevel="0" collapsed="false">
      <c r="A106" s="11" t="n">
        <v>105</v>
      </c>
      <c r="B106" s="12" t="s">
        <v>17</v>
      </c>
      <c r="C106" s="12" t="s">
        <v>59</v>
      </c>
      <c r="D106" s="13" t="s">
        <v>294</v>
      </c>
      <c r="E106" s="13" t="s">
        <v>295</v>
      </c>
      <c r="F106" s="14" t="s">
        <v>4</v>
      </c>
      <c r="G106" s="15" t="s">
        <v>43</v>
      </c>
      <c r="H106" s="16" t="s">
        <v>54</v>
      </c>
    </row>
    <row r="107" customFormat="false" ht="27.75" hidden="false" customHeight="true" outlineLevel="0" collapsed="false">
      <c r="A107" s="11" t="n">
        <v>106</v>
      </c>
      <c r="B107" s="12" t="s">
        <v>17</v>
      </c>
      <c r="C107" s="12" t="s">
        <v>40</v>
      </c>
      <c r="D107" s="13" t="s">
        <v>296</v>
      </c>
      <c r="E107" s="13" t="s">
        <v>297</v>
      </c>
      <c r="F107" s="14" t="s">
        <v>4</v>
      </c>
      <c r="G107" s="15" t="s">
        <v>43</v>
      </c>
      <c r="H107" s="12" t="s">
        <v>51</v>
      </c>
    </row>
    <row r="108" customFormat="false" ht="27.75" hidden="false" customHeight="true" outlineLevel="0" collapsed="false">
      <c r="A108" s="11" t="n">
        <v>107</v>
      </c>
      <c r="B108" s="12" t="s">
        <v>17</v>
      </c>
      <c r="C108" s="12" t="s">
        <v>40</v>
      </c>
      <c r="D108" s="13" t="s">
        <v>298</v>
      </c>
      <c r="E108" s="13" t="s">
        <v>299</v>
      </c>
      <c r="F108" s="17" t="s">
        <v>5</v>
      </c>
      <c r="G108" s="15" t="s">
        <v>43</v>
      </c>
      <c r="H108" s="16" t="s">
        <v>54</v>
      </c>
    </row>
    <row r="109" customFormat="false" ht="27.75" hidden="false" customHeight="true" outlineLevel="0" collapsed="false">
      <c r="A109" s="11" t="n">
        <v>108</v>
      </c>
      <c r="B109" s="12" t="s">
        <v>17</v>
      </c>
      <c r="C109" s="12" t="s">
        <v>40</v>
      </c>
      <c r="D109" s="13" t="s">
        <v>300</v>
      </c>
      <c r="E109" s="13" t="s">
        <v>301</v>
      </c>
      <c r="F109" s="17" t="s">
        <v>5</v>
      </c>
      <c r="G109" s="15" t="s">
        <v>43</v>
      </c>
      <c r="H109" s="12" t="s">
        <v>51</v>
      </c>
    </row>
    <row r="110" customFormat="false" ht="27.75" hidden="false" customHeight="true" outlineLevel="0" collapsed="false">
      <c r="A110" s="11" t="n">
        <v>109</v>
      </c>
      <c r="B110" s="12" t="s">
        <v>17</v>
      </c>
      <c r="C110" s="12" t="s">
        <v>302</v>
      </c>
      <c r="D110" s="13" t="s">
        <v>303</v>
      </c>
      <c r="E110" s="13" t="s">
        <v>304</v>
      </c>
      <c r="F110" s="17" t="s">
        <v>5</v>
      </c>
      <c r="G110" s="15" t="s">
        <v>43</v>
      </c>
      <c r="H110" s="16" t="s">
        <v>54</v>
      </c>
    </row>
    <row r="111" customFormat="false" ht="27.75" hidden="false" customHeight="true" outlineLevel="0" collapsed="false">
      <c r="A111" s="11" t="n">
        <v>110</v>
      </c>
      <c r="B111" s="12" t="s">
        <v>17</v>
      </c>
      <c r="C111" s="12" t="s">
        <v>302</v>
      </c>
      <c r="D111" s="13" t="s">
        <v>305</v>
      </c>
      <c r="E111" s="13" t="s">
        <v>306</v>
      </c>
      <c r="F111" s="17" t="s">
        <v>5</v>
      </c>
      <c r="G111" s="15" t="s">
        <v>58</v>
      </c>
      <c r="H111" s="16" t="s">
        <v>54</v>
      </c>
    </row>
    <row r="112" customFormat="false" ht="27.75" hidden="false" customHeight="true" outlineLevel="0" collapsed="false">
      <c r="A112" s="11" t="n">
        <v>111</v>
      </c>
      <c r="B112" s="12" t="s">
        <v>17</v>
      </c>
      <c r="C112" s="12" t="s">
        <v>40</v>
      </c>
      <c r="D112" s="13" t="s">
        <v>307</v>
      </c>
      <c r="E112" s="13" t="s">
        <v>308</v>
      </c>
      <c r="F112" s="17" t="s">
        <v>5</v>
      </c>
      <c r="G112" s="15" t="s">
        <v>58</v>
      </c>
      <c r="H112" s="12" t="s">
        <v>117</v>
      </c>
    </row>
    <row r="113" customFormat="false" ht="27.75" hidden="false" customHeight="true" outlineLevel="0" collapsed="false">
      <c r="A113" s="11" t="n">
        <v>112</v>
      </c>
      <c r="B113" s="12" t="s">
        <v>17</v>
      </c>
      <c r="C113" s="12" t="s">
        <v>40</v>
      </c>
      <c r="D113" s="13" t="s">
        <v>309</v>
      </c>
      <c r="E113" s="13" t="s">
        <v>310</v>
      </c>
      <c r="F113" s="17" t="s">
        <v>5</v>
      </c>
      <c r="G113" s="15" t="s">
        <v>43</v>
      </c>
      <c r="H113" s="16" t="s">
        <v>54</v>
      </c>
    </row>
    <row r="114" customFormat="false" ht="27.75" hidden="false" customHeight="true" outlineLevel="0" collapsed="false">
      <c r="A114" s="11" t="n">
        <v>113</v>
      </c>
      <c r="B114" s="12" t="s">
        <v>17</v>
      </c>
      <c r="C114" s="12" t="s">
        <v>311</v>
      </c>
      <c r="D114" s="13" t="s">
        <v>312</v>
      </c>
      <c r="E114" s="13" t="s">
        <v>313</v>
      </c>
      <c r="F114" s="14" t="s">
        <v>4</v>
      </c>
      <c r="G114" s="15" t="s">
        <v>58</v>
      </c>
      <c r="H114" s="12" t="s">
        <v>117</v>
      </c>
    </row>
    <row r="115" customFormat="false" ht="27.75" hidden="false" customHeight="true" outlineLevel="0" collapsed="false">
      <c r="A115" s="11" t="n">
        <v>114</v>
      </c>
      <c r="B115" s="12" t="s">
        <v>18</v>
      </c>
      <c r="C115" s="12" t="s">
        <v>40</v>
      </c>
      <c r="D115" s="13" t="s">
        <v>314</v>
      </c>
      <c r="E115" s="13" t="s">
        <v>315</v>
      </c>
      <c r="F115" s="14" t="s">
        <v>4</v>
      </c>
      <c r="G115" s="15" t="s">
        <v>58</v>
      </c>
      <c r="H115" s="16" t="s">
        <v>54</v>
      </c>
    </row>
    <row r="116" customFormat="false" ht="27.75" hidden="false" customHeight="true" outlineLevel="0" collapsed="false">
      <c r="A116" s="11" t="n">
        <v>115</v>
      </c>
      <c r="B116" s="12" t="s">
        <v>18</v>
      </c>
      <c r="C116" s="12" t="s">
        <v>40</v>
      </c>
      <c r="D116" s="13" t="s">
        <v>316</v>
      </c>
      <c r="E116" s="13" t="s">
        <v>317</v>
      </c>
      <c r="F116" s="14" t="s">
        <v>4</v>
      </c>
      <c r="G116" s="15" t="s">
        <v>58</v>
      </c>
      <c r="H116" s="16" t="s">
        <v>54</v>
      </c>
    </row>
    <row r="117" customFormat="false" ht="27.75" hidden="false" customHeight="true" outlineLevel="0" collapsed="false">
      <c r="A117" s="11" t="n">
        <v>116</v>
      </c>
      <c r="B117" s="12" t="s">
        <v>18</v>
      </c>
      <c r="C117" s="12" t="s">
        <v>102</v>
      </c>
      <c r="D117" s="13" t="s">
        <v>318</v>
      </c>
      <c r="E117" s="13" t="s">
        <v>319</v>
      </c>
      <c r="F117" s="17" t="s">
        <v>5</v>
      </c>
      <c r="G117" s="15" t="s">
        <v>43</v>
      </c>
      <c r="H117" s="12" t="s">
        <v>117</v>
      </c>
    </row>
    <row r="118" customFormat="false" ht="27.75" hidden="false" customHeight="true" outlineLevel="0" collapsed="false">
      <c r="A118" s="11" t="n">
        <v>117</v>
      </c>
      <c r="B118" s="12" t="s">
        <v>18</v>
      </c>
      <c r="C118" s="12" t="s">
        <v>102</v>
      </c>
      <c r="D118" s="13" t="s">
        <v>320</v>
      </c>
      <c r="E118" s="13" t="s">
        <v>321</v>
      </c>
      <c r="F118" s="14" t="s">
        <v>4</v>
      </c>
      <c r="G118" s="15" t="s">
        <v>215</v>
      </c>
      <c r="H118" s="12" t="s">
        <v>117</v>
      </c>
    </row>
    <row r="119" customFormat="false" ht="27.75" hidden="false" customHeight="true" outlineLevel="0" collapsed="false">
      <c r="A119" s="11" t="n">
        <v>118</v>
      </c>
      <c r="B119" s="12" t="s">
        <v>18</v>
      </c>
      <c r="C119" s="12" t="s">
        <v>40</v>
      </c>
      <c r="D119" s="13" t="s">
        <v>322</v>
      </c>
      <c r="E119" s="13" t="s">
        <v>323</v>
      </c>
      <c r="F119" s="14" t="s">
        <v>4</v>
      </c>
      <c r="G119" s="15" t="s">
        <v>58</v>
      </c>
      <c r="H119" s="12" t="s">
        <v>117</v>
      </c>
    </row>
    <row r="120" customFormat="false" ht="27.75" hidden="false" customHeight="true" outlineLevel="0" collapsed="false">
      <c r="A120" s="11" t="n">
        <v>119</v>
      </c>
      <c r="B120" s="12" t="s">
        <v>18</v>
      </c>
      <c r="C120" s="12" t="s">
        <v>40</v>
      </c>
      <c r="D120" s="13" t="s">
        <v>324</v>
      </c>
      <c r="E120" s="13" t="s">
        <v>325</v>
      </c>
      <c r="F120" s="17" t="s">
        <v>5</v>
      </c>
      <c r="G120" s="15" t="s">
        <v>43</v>
      </c>
      <c r="H120" s="16" t="s">
        <v>54</v>
      </c>
    </row>
    <row r="121" customFormat="false" ht="27.75" hidden="false" customHeight="true" outlineLevel="0" collapsed="false">
      <c r="A121" s="11" t="n">
        <v>120</v>
      </c>
      <c r="B121" s="12" t="s">
        <v>18</v>
      </c>
      <c r="C121" s="12" t="s">
        <v>40</v>
      </c>
      <c r="D121" s="13" t="s">
        <v>326</v>
      </c>
      <c r="E121" s="13" t="s">
        <v>327</v>
      </c>
      <c r="F121" s="17" t="s">
        <v>5</v>
      </c>
      <c r="G121" s="15" t="s">
        <v>43</v>
      </c>
      <c r="H121" s="16" t="s">
        <v>54</v>
      </c>
    </row>
    <row r="122" customFormat="false" ht="27.75" hidden="false" customHeight="true" outlineLevel="0" collapsed="false">
      <c r="A122" s="11" t="n">
        <v>121</v>
      </c>
      <c r="B122" s="12" t="s">
        <v>18</v>
      </c>
      <c r="C122" s="12" t="s">
        <v>40</v>
      </c>
      <c r="D122" s="13" t="s">
        <v>328</v>
      </c>
      <c r="E122" s="13" t="s">
        <v>329</v>
      </c>
      <c r="F122" s="17" t="s">
        <v>5</v>
      </c>
      <c r="G122" s="15" t="s">
        <v>43</v>
      </c>
      <c r="H122" s="16" t="s">
        <v>54</v>
      </c>
    </row>
    <row r="123" customFormat="false" ht="27.75" hidden="false" customHeight="true" outlineLevel="0" collapsed="false">
      <c r="A123" s="11" t="n">
        <v>122</v>
      </c>
      <c r="B123" s="12" t="s">
        <v>18</v>
      </c>
      <c r="C123" s="12" t="s">
        <v>231</v>
      </c>
      <c r="D123" s="13" t="s">
        <v>330</v>
      </c>
      <c r="E123" s="13" t="s">
        <v>331</v>
      </c>
      <c r="F123" s="18" t="s">
        <v>6</v>
      </c>
      <c r="G123" s="15" t="s">
        <v>43</v>
      </c>
      <c r="H123" s="12" t="s">
        <v>117</v>
      </c>
    </row>
    <row r="124" customFormat="false" ht="27.75" hidden="false" customHeight="true" outlineLevel="0" collapsed="false">
      <c r="A124" s="11" t="n">
        <v>123</v>
      </c>
      <c r="B124" s="12" t="s">
        <v>18</v>
      </c>
      <c r="C124" s="12" t="s">
        <v>311</v>
      </c>
      <c r="D124" s="13" t="s">
        <v>332</v>
      </c>
      <c r="E124" s="13" t="s">
        <v>333</v>
      </c>
      <c r="F124" s="14" t="s">
        <v>4</v>
      </c>
      <c r="G124" s="15" t="s">
        <v>58</v>
      </c>
      <c r="H124" s="12" t="s">
        <v>117</v>
      </c>
    </row>
    <row r="125" customFormat="false" ht="27.75" hidden="false" customHeight="true" outlineLevel="0" collapsed="false">
      <c r="A125" s="11" t="n">
        <v>124</v>
      </c>
      <c r="B125" s="12" t="s">
        <v>18</v>
      </c>
      <c r="C125" s="12" t="s">
        <v>40</v>
      </c>
      <c r="D125" s="13" t="s">
        <v>334</v>
      </c>
      <c r="E125" s="13" t="s">
        <v>335</v>
      </c>
      <c r="F125" s="17" t="s">
        <v>5</v>
      </c>
      <c r="G125" s="15" t="s">
        <v>43</v>
      </c>
      <c r="H125" s="16" t="s">
        <v>54</v>
      </c>
    </row>
    <row r="126" customFormat="false" ht="27.75" hidden="false" customHeight="true" outlineLevel="0" collapsed="false">
      <c r="A126" s="11" t="n">
        <v>125</v>
      </c>
      <c r="B126" s="12" t="s">
        <v>19</v>
      </c>
      <c r="C126" s="12" t="s">
        <v>40</v>
      </c>
      <c r="D126" s="13" t="s">
        <v>336</v>
      </c>
      <c r="E126" s="13" t="s">
        <v>337</v>
      </c>
      <c r="F126" s="14" t="s">
        <v>4</v>
      </c>
      <c r="G126" s="15" t="s">
        <v>215</v>
      </c>
      <c r="H126" s="12" t="s">
        <v>51</v>
      </c>
    </row>
    <row r="127" customFormat="false" ht="27.75" hidden="false" customHeight="true" outlineLevel="0" collapsed="false">
      <c r="A127" s="11" t="n">
        <v>126</v>
      </c>
      <c r="B127" s="12" t="s">
        <v>19</v>
      </c>
      <c r="C127" s="12" t="s">
        <v>40</v>
      </c>
      <c r="D127" s="13" t="s">
        <v>338</v>
      </c>
      <c r="E127" s="13" t="s">
        <v>339</v>
      </c>
      <c r="F127" s="14" t="s">
        <v>4</v>
      </c>
      <c r="G127" s="15" t="s">
        <v>58</v>
      </c>
      <c r="H127" s="12" t="s">
        <v>117</v>
      </c>
    </row>
    <row r="128" customFormat="false" ht="27.75" hidden="false" customHeight="true" outlineLevel="0" collapsed="false">
      <c r="A128" s="11" t="n">
        <v>127</v>
      </c>
      <c r="B128" s="12" t="s">
        <v>19</v>
      </c>
      <c r="C128" s="12" t="s">
        <v>40</v>
      </c>
      <c r="D128" s="13" t="s">
        <v>340</v>
      </c>
      <c r="E128" s="13" t="s">
        <v>341</v>
      </c>
      <c r="F128" s="17" t="s">
        <v>5</v>
      </c>
      <c r="G128" s="15" t="s">
        <v>43</v>
      </c>
      <c r="H128" s="12" t="s">
        <v>117</v>
      </c>
    </row>
    <row r="129" customFormat="false" ht="27.75" hidden="false" customHeight="true" outlineLevel="0" collapsed="false">
      <c r="A129" s="11" t="n">
        <v>128</v>
      </c>
      <c r="B129" s="12" t="s">
        <v>19</v>
      </c>
      <c r="C129" s="12" t="s">
        <v>40</v>
      </c>
      <c r="D129" s="13" t="s">
        <v>342</v>
      </c>
      <c r="E129" s="13" t="s">
        <v>343</v>
      </c>
      <c r="F129" s="17" t="s">
        <v>5</v>
      </c>
      <c r="G129" s="15" t="s">
        <v>58</v>
      </c>
      <c r="H129" s="12" t="s">
        <v>117</v>
      </c>
    </row>
    <row r="130" customFormat="false" ht="27.75" hidden="false" customHeight="true" outlineLevel="0" collapsed="false">
      <c r="A130" s="11" t="n">
        <v>129</v>
      </c>
      <c r="B130" s="12" t="s">
        <v>19</v>
      </c>
      <c r="C130" s="12" t="s">
        <v>40</v>
      </c>
      <c r="D130" s="13" t="s">
        <v>344</v>
      </c>
      <c r="E130" s="13" t="s">
        <v>345</v>
      </c>
      <c r="F130" s="14" t="s">
        <v>4</v>
      </c>
      <c r="G130" s="15" t="s">
        <v>215</v>
      </c>
      <c r="H130" s="12" t="s">
        <v>117</v>
      </c>
    </row>
    <row r="131" customFormat="false" ht="27.75" hidden="false" customHeight="true" outlineLevel="0" collapsed="false">
      <c r="A131" s="11" t="n">
        <v>130</v>
      </c>
      <c r="B131" s="12" t="s">
        <v>19</v>
      </c>
      <c r="C131" s="12" t="s">
        <v>40</v>
      </c>
      <c r="D131" s="13" t="s">
        <v>346</v>
      </c>
      <c r="E131" s="13" t="s">
        <v>347</v>
      </c>
      <c r="F131" s="18" t="s">
        <v>6</v>
      </c>
      <c r="G131" s="15" t="s">
        <v>43</v>
      </c>
      <c r="H131" s="12" t="s">
        <v>117</v>
      </c>
    </row>
    <row r="132" customFormat="false" ht="27.75" hidden="false" customHeight="true" outlineLevel="0" collapsed="false">
      <c r="A132" s="11" t="n">
        <v>131</v>
      </c>
      <c r="B132" s="12" t="s">
        <v>19</v>
      </c>
      <c r="C132" s="12" t="s">
        <v>311</v>
      </c>
      <c r="D132" s="13" t="s">
        <v>348</v>
      </c>
      <c r="E132" s="13" t="s">
        <v>349</v>
      </c>
      <c r="F132" s="17" t="s">
        <v>5</v>
      </c>
      <c r="G132" s="15" t="s">
        <v>43</v>
      </c>
      <c r="H132" s="12" t="s">
        <v>117</v>
      </c>
    </row>
    <row r="133" customFormat="false" ht="27.75" hidden="false" customHeight="true" outlineLevel="0" collapsed="false">
      <c r="A133" s="11" t="n">
        <v>132</v>
      </c>
      <c r="B133" s="12" t="s">
        <v>20</v>
      </c>
      <c r="C133" s="12" t="s">
        <v>88</v>
      </c>
      <c r="D133" s="13" t="s">
        <v>350</v>
      </c>
      <c r="E133" s="13" t="s">
        <v>351</v>
      </c>
      <c r="F133" s="14" t="s">
        <v>4</v>
      </c>
      <c r="G133" s="15" t="s">
        <v>43</v>
      </c>
      <c r="H133" s="12" t="s">
        <v>51</v>
      </c>
    </row>
    <row r="134" customFormat="false" ht="27.75" hidden="false" customHeight="true" outlineLevel="0" collapsed="false">
      <c r="A134" s="11" t="n">
        <v>133</v>
      </c>
      <c r="B134" s="12" t="s">
        <v>20</v>
      </c>
      <c r="C134" s="12" t="s">
        <v>352</v>
      </c>
      <c r="D134" s="13" t="s">
        <v>353</v>
      </c>
      <c r="E134" s="13" t="s">
        <v>354</v>
      </c>
      <c r="F134" s="14" t="s">
        <v>4</v>
      </c>
      <c r="G134" s="15" t="s">
        <v>58</v>
      </c>
      <c r="H134" s="16" t="s">
        <v>54</v>
      </c>
    </row>
    <row r="135" customFormat="false" ht="27.75" hidden="false" customHeight="true" outlineLevel="0" collapsed="false">
      <c r="A135" s="11" t="n">
        <v>134</v>
      </c>
      <c r="B135" s="12" t="s">
        <v>20</v>
      </c>
      <c r="C135" s="12" t="s">
        <v>40</v>
      </c>
      <c r="D135" s="13" t="s">
        <v>355</v>
      </c>
      <c r="E135" s="13" t="s">
        <v>356</v>
      </c>
      <c r="F135" s="17" t="s">
        <v>5</v>
      </c>
      <c r="G135" s="15" t="s">
        <v>58</v>
      </c>
      <c r="H135" s="16" t="s">
        <v>54</v>
      </c>
    </row>
    <row r="136" customFormat="false" ht="27.75" hidden="false" customHeight="true" outlineLevel="0" collapsed="false">
      <c r="A136" s="11" t="n">
        <v>135</v>
      </c>
      <c r="B136" s="12" t="s">
        <v>20</v>
      </c>
      <c r="C136" s="12" t="s">
        <v>40</v>
      </c>
      <c r="D136" s="13" t="s">
        <v>357</v>
      </c>
      <c r="E136" s="13" t="s">
        <v>358</v>
      </c>
      <c r="F136" s="17" t="s">
        <v>5</v>
      </c>
      <c r="G136" s="15" t="s">
        <v>43</v>
      </c>
      <c r="H136" s="12" t="s">
        <v>51</v>
      </c>
    </row>
    <row r="137" customFormat="false" ht="27.75" hidden="false" customHeight="true" outlineLevel="0" collapsed="false">
      <c r="A137" s="11" t="n">
        <v>136</v>
      </c>
      <c r="B137" s="12" t="s">
        <v>20</v>
      </c>
      <c r="C137" s="12" t="s">
        <v>311</v>
      </c>
      <c r="D137" s="13" t="s">
        <v>359</v>
      </c>
      <c r="E137" s="13" t="s">
        <v>360</v>
      </c>
      <c r="F137" s="17" t="s">
        <v>5</v>
      </c>
      <c r="G137" s="15" t="s">
        <v>43</v>
      </c>
      <c r="H137" s="12" t="s">
        <v>117</v>
      </c>
    </row>
    <row r="138" customFormat="false" ht="27.75" hidden="false" customHeight="true" outlineLevel="0" collapsed="false">
      <c r="A138" s="11" t="n">
        <v>137</v>
      </c>
      <c r="B138" s="12" t="s">
        <v>21</v>
      </c>
      <c r="C138" s="12" t="s">
        <v>40</v>
      </c>
      <c r="D138" s="13" t="s">
        <v>361</v>
      </c>
      <c r="E138" s="13" t="s">
        <v>362</v>
      </c>
      <c r="F138" s="14" t="s">
        <v>4</v>
      </c>
      <c r="G138" s="15" t="s">
        <v>58</v>
      </c>
      <c r="H138" s="16" t="s">
        <v>54</v>
      </c>
    </row>
    <row r="139" customFormat="false" ht="27.75" hidden="false" customHeight="true" outlineLevel="0" collapsed="false">
      <c r="A139" s="11" t="n">
        <v>138</v>
      </c>
      <c r="B139" s="12" t="s">
        <v>21</v>
      </c>
      <c r="C139" s="12" t="s">
        <v>40</v>
      </c>
      <c r="D139" s="13" t="s">
        <v>363</v>
      </c>
      <c r="E139" s="13" t="s">
        <v>364</v>
      </c>
      <c r="F139" s="17" t="s">
        <v>5</v>
      </c>
      <c r="G139" s="15" t="s">
        <v>43</v>
      </c>
      <c r="H139" s="12" t="s">
        <v>117</v>
      </c>
    </row>
    <row r="140" customFormat="false" ht="27.75" hidden="false" customHeight="true" outlineLevel="0" collapsed="false">
      <c r="A140" s="11" t="n">
        <v>139</v>
      </c>
      <c r="B140" s="12" t="s">
        <v>21</v>
      </c>
      <c r="C140" s="12" t="s">
        <v>69</v>
      </c>
      <c r="D140" s="13" t="s">
        <v>365</v>
      </c>
      <c r="E140" s="13" t="s">
        <v>366</v>
      </c>
      <c r="F140" s="17" t="s">
        <v>5</v>
      </c>
      <c r="G140" s="15" t="s">
        <v>58</v>
      </c>
      <c r="H140" s="12" t="s">
        <v>117</v>
      </c>
    </row>
    <row r="141" customFormat="false" ht="27.75" hidden="false" customHeight="true" outlineLevel="0" collapsed="false">
      <c r="A141" s="11" t="n">
        <v>140</v>
      </c>
      <c r="B141" s="12" t="s">
        <v>21</v>
      </c>
      <c r="C141" s="12" t="s">
        <v>311</v>
      </c>
      <c r="D141" s="13" t="s">
        <v>367</v>
      </c>
      <c r="E141" s="13" t="s">
        <v>368</v>
      </c>
      <c r="F141" s="14" t="s">
        <v>4</v>
      </c>
      <c r="G141" s="15" t="s">
        <v>43</v>
      </c>
      <c r="H141" s="12" t="s">
        <v>117</v>
      </c>
    </row>
    <row r="142" customFormat="false" ht="27.75" hidden="false" customHeight="true" outlineLevel="0" collapsed="false">
      <c r="A142" s="11" t="n">
        <v>141</v>
      </c>
      <c r="B142" s="12" t="s">
        <v>21</v>
      </c>
      <c r="C142" s="12" t="s">
        <v>40</v>
      </c>
      <c r="D142" s="13" t="s">
        <v>369</v>
      </c>
      <c r="E142" s="13" t="s">
        <v>370</v>
      </c>
      <c r="F142" s="14" t="s">
        <v>4</v>
      </c>
      <c r="G142" s="15" t="s">
        <v>43</v>
      </c>
      <c r="H142" s="12" t="s">
        <v>117</v>
      </c>
    </row>
  </sheetData>
  <autoFilter ref="A1:J14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2026-09-01T12:26:51Z</dcterms:created>
  <dc:creator>openpyxl</dc:creator>
  <dc:description/>
  <dc:language>en-US</dc:language>
  <cp:lastModifiedBy/>
  <dcterms:modified xsi:type="dcterms:W3CDTF">2026-09-01T12:26:51Z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