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'Register'!$A$1:$F$101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006B3F"/>
      <sz val="10"/>
    </font>
    <font>
      <name val="Arial"/>
      <color rgb="008A5A0F"/>
      <sz val="10"/>
    </font>
    <font>
      <name val="Arial"/>
      <color rgb="001A1B1F"/>
      <sz val="10"/>
    </font>
    <font>
      <name val="Arial"/>
      <color rgb="006B7280"/>
      <sz val="10"/>
    </font>
    <font>
      <name val="Arial"/>
      <b val="1"/>
      <color rgb="008A5A0F"/>
      <sz val="10"/>
    </font>
    <font>
      <name val="Arial"/>
      <b val="1"/>
      <color rgb="006B7280"/>
      <sz val="10"/>
    </font>
    <font>
      <name val="Arial"/>
      <b val="1"/>
      <color rgb="001F4E9C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color rgb="00B3261E"/>
      <sz val="10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A1B1F"/>
      </patternFill>
    </fill>
    <fill>
      <patternFill patternType="solid">
        <fgColor rgb="00EAF6F4"/>
      </patternFill>
    </fill>
  </fills>
  <borders count="2">
    <border>
      <left/>
      <right/>
      <top/>
      <bottom/>
      <diagonal/>
    </border>
    <border>
      <bottom style="thin">
        <color rgb="00D9DE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3" fillId="3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60" customWidth="1" min="4" max="4"/>
    <col width="22" customWidth="1" min="5" max="5"/>
    <col width="60" customWidth="1" min="6" max="6"/>
  </cols>
  <sheetData>
    <row r="1" ht="22" customHeight="1">
      <c r="A1" s="1" t="inlineStr">
        <is>
          <t>#</t>
        </is>
      </c>
      <c r="B1" s="1" t="inlineStr">
        <is>
          <t>Area</t>
        </is>
      </c>
      <c r="C1" s="1" t="inlineStr">
        <is>
          <t>Severity</t>
        </is>
      </c>
      <c r="D1" s="1" t="inlineStr">
        <is>
          <t>Problem — V2.0 baseline</t>
        </is>
      </c>
      <c r="E1" s="1" t="inlineStr">
        <is>
          <t>Status</t>
        </is>
      </c>
      <c r="F1" s="1" t="inlineStr">
        <is>
          <t>Resolution / notes</t>
        </is>
      </c>
    </row>
    <row r="2">
      <c r="A2" s="2" t="n">
        <v>1</v>
      </c>
      <c r="B2" s="2" t="inlineStr">
        <is>
          <t>Build &amp; tooling</t>
        </is>
      </c>
      <c r="C2" s="3" t="inlineStr">
        <is>
          <t>Critical</t>
        </is>
      </c>
      <c r="D2" s="4" t="inlineStr">
        <is>
          <t>build.py fails with SyntaxError on Python 3.9-3.11 (backslash inside an f-string expression) although README promises Python 3.9+; the build did not run at all on this machine's Python 3.11.</t>
        </is>
      </c>
      <c r="E2" s="5" t="inlineStr">
        <is>
          <t>Fixed — V2.1</t>
        </is>
      </c>
      <c r="F2" s="4" t="inlineStr">
        <is>
          <t>Navigation link builder rewritten without the 3.12-only construct; build verified on 3.11 and 3.13.</t>
        </is>
      </c>
    </row>
    <row r="3">
      <c r="A3" s="2" t="n">
        <v>2</v>
      </c>
      <c r="B3" s="2" t="inlineStr">
        <is>
          <t>Build &amp; tooling</t>
        </is>
      </c>
      <c r="C3" s="6" t="inlineStr">
        <is>
          <t>High</t>
        </is>
      </c>
      <c r="D3" s="4" t="inlineStr">
        <is>
          <t>check.py wrote its temp JS file to a hardcoded /tmp path — FileNotFoundError on Windows, so the verifier crashed instead of verifying.</t>
        </is>
      </c>
      <c r="E3" s="5" t="inlineStr">
        <is>
          <t>Fixed — V2.1</t>
        </is>
      </c>
      <c r="F3" s="4" t="inlineStr">
        <is>
          <t>tempfile.mkstemp used; portable on Windows and POSIX.</t>
        </is>
      </c>
    </row>
    <row r="4">
      <c r="A4" s="2" t="n">
        <v>3</v>
      </c>
      <c r="B4" s="2" t="inlineStr">
        <is>
          <t>Build &amp; tooling</t>
        </is>
      </c>
      <c r="C4" s="6" t="inlineStr">
        <is>
          <t>High</t>
        </is>
      </c>
      <c r="D4" s="4" t="inlineStr">
        <is>
          <t>check.py wrote the temp file without UTF-8 encoding — UnicodeEncodeError on the catalogue's Arabic strings under Windows cp1252.</t>
        </is>
      </c>
      <c r="E4" s="5" t="inlineStr">
        <is>
          <t>Fixed — V2.1</t>
        </is>
      </c>
      <c r="F4" s="4" t="inlineStr">
        <is>
          <t>Temp file written with encoding='utf-8'.</t>
        </is>
      </c>
    </row>
    <row r="5">
      <c r="A5" s="2" t="n">
        <v>4</v>
      </c>
      <c r="B5" s="2" t="inlineStr">
        <is>
          <t>Build &amp; tooling</t>
        </is>
      </c>
      <c r="C5" s="7" t="inlineStr">
        <is>
          <t>Medium</t>
        </is>
      </c>
      <c r="D5" s="4" t="inlineStr">
        <is>
          <t>check.py crashed with FileNotFoundError when node is not installed, instead of skipping the JS syntax check.</t>
        </is>
      </c>
      <c r="E5" s="5" t="inlineStr">
        <is>
          <t>Fixed — V2.1</t>
        </is>
      </c>
      <c r="F5" s="4" t="inlineStr">
        <is>
          <t>shutil.which('node'); check skipped with a visible warning when absent.</t>
        </is>
      </c>
    </row>
    <row r="6">
      <c r="A6" s="2" t="n">
        <v>5</v>
      </c>
      <c r="B6" s="2" t="inlineStr">
        <is>
          <t>Build &amp; tooling</t>
        </is>
      </c>
      <c r="C6" s="7" t="inlineStr">
        <is>
          <t>Medium</t>
        </is>
      </c>
      <c r="D6" s="4" t="inlineStr">
        <is>
          <t>Check marks (u2713/u2717) in script output crash under cp1252 consoles and pipes on Windows.</t>
        </is>
      </c>
      <c r="E6" s="5" t="inlineStr">
        <is>
          <t>Fixed — V2.3</t>
        </is>
      </c>
      <c r="F6" s="4" t="inlineStr">
        <is>
          <t>sys.stdout reconfigured to UTF-8 in check.py and manage.py.</t>
        </is>
      </c>
    </row>
    <row r="7">
      <c r="A7" s="2" t="n">
        <v>6</v>
      </c>
      <c r="B7" s="2" t="inlineStr">
        <is>
          <t>Build &amp; tooling</t>
        </is>
      </c>
      <c r="C7" s="8" t="inlineStr">
        <is>
          <t>Low</t>
        </is>
      </c>
      <c r="D7" s="4" t="inlineStr">
        <is>
          <t>check.py's HTML parser listed option and iframe as void elements — nesting errors involving them were invisible.</t>
        </is>
      </c>
      <c r="E7" s="5" t="inlineStr">
        <is>
          <t>Fixed — V2.1</t>
        </is>
      </c>
      <c r="F7" s="4" t="inlineStr">
        <is>
          <t>Removed from the VOID set; both are properly closed in the templates.</t>
        </is>
      </c>
    </row>
    <row r="8">
      <c r="A8" s="2" t="n">
        <v>7</v>
      </c>
      <c r="B8" s="2" t="inlineStr">
        <is>
          <t>Build &amp; tooling</t>
        </is>
      </c>
      <c r="C8" s="8" t="inlineStr">
        <is>
          <t>Low</t>
        </is>
      </c>
      <c r="D8" s="4" t="inlineStr">
        <is>
          <t>check.py demanded exactly 14 pages, so any legitimately added page would fail the build check.</t>
        </is>
      </c>
      <c r="E8" s="5" t="inlineStr">
        <is>
          <t>Fixed — V2.1</t>
        </is>
      </c>
      <c r="F8" s="4" t="inlineStr">
        <is>
          <t>Changed to a minimum-of-14 floor; 20 pages now verified.</t>
        </is>
      </c>
    </row>
    <row r="9">
      <c r="A9" s="2" t="n">
        <v>8</v>
      </c>
      <c r="B9" s="2" t="inlineStr">
        <is>
          <t>Build &amp; tooling</t>
        </is>
      </c>
      <c r="C9" s="7" t="inlineStr">
        <is>
          <t>Medium</t>
        </is>
      </c>
      <c r="D9" s="4" t="inlineStr">
        <is>
          <t>No build-time guard that the EN and AR content structures stay parallel — drift would ship silently.</t>
        </is>
      </c>
      <c r="E9" s="5" t="inlineStr">
        <is>
          <t>Fixed — V2.2</t>
        </is>
      </c>
      <c r="F9" s="4" t="inlineStr">
        <is>
          <t>Assertions compare discipline list shapes across languages at build time.</t>
        </is>
      </c>
    </row>
    <row r="10">
      <c r="A10" s="2" t="n">
        <v>9</v>
      </c>
      <c r="B10" s="2" t="inlineStr">
        <is>
          <t>Build &amp; tooling</t>
        </is>
      </c>
      <c r="C10" s="7" t="inlineStr">
        <is>
          <t>Medium</t>
        </is>
      </c>
      <c r="D10" s="4" t="inlineStr">
        <is>
          <t>Service blurbs looked up with .get(name, '') — a missing or misspelled key shipped an empty card with no error.</t>
        </is>
      </c>
      <c r="E10" s="5" t="inlineStr">
        <is>
          <t>Fixed — V2.2</t>
        </is>
      </c>
      <c r="F10" s="4" t="inlineStr">
        <is>
          <t>Direct indexing plus a build-time assertion that every service has a blurb in both languages.</t>
        </is>
      </c>
    </row>
    <row r="11">
      <c r="A11" s="2" t="n">
        <v>10</v>
      </c>
      <c r="B11" s="2" t="inlineStr">
        <is>
          <t>Build &amp; tooling</t>
        </is>
      </c>
      <c r="C11" s="6" t="inlineStr">
        <is>
          <t>High</t>
        </is>
      </c>
      <c r="D11" s="4" t="inlineStr">
        <is>
          <t>No validation of catalogue data existed anywhere: duplicate SKUs, unknown icons, missing lead times or fields could all ship.</t>
        </is>
      </c>
      <c r="E11" s="5" t="inlineStr">
        <is>
          <t>Fixed — V2.3</t>
        </is>
      </c>
      <c r="F11" s="4" t="inlineStr">
        <is>
          <t>manage.py check validates all of it (and build auto-runs after every manage.py change).</t>
        </is>
      </c>
    </row>
    <row r="12">
      <c r="A12" s="2" t="n">
        <v>11</v>
      </c>
      <c r="B12" s="2" t="inlineStr">
        <is>
          <t>Dead &amp; wrong links</t>
        </is>
      </c>
      <c r="C12" s="3" t="inlineStr">
        <is>
          <t>Critical</t>
        </is>
      </c>
      <c r="D12" s="4" t="inlineStr">
        <is>
          <t>'Company profile (PDF)' button in the CTA band on every page linked /assets1/images/DC COMPANY PROFILE.pdf — an old-site path that 404s from this build.</t>
        </is>
      </c>
      <c r="E12" s="5" t="inlineStr">
        <is>
          <t>Fixed — V2.2</t>
        </is>
      </c>
      <c r="F12" s="4" t="inlineStr">
        <is>
          <t>Button removed with a TODO to restore when the client supplies the PDF (it is on the needed-from-client list); catalogue button takes the slot.</t>
        </is>
      </c>
    </row>
    <row r="13">
      <c r="A13" s="2" t="n">
        <v>12</v>
      </c>
      <c r="B13" s="2" t="inlineStr">
        <is>
          <t>Dead &amp; wrong links</t>
        </is>
      </c>
      <c r="C13" s="6" t="inlineStr">
        <is>
          <t>High</t>
        </is>
      </c>
      <c r="D13" s="4" t="inlineStr">
        <is>
          <t>Footer 'Careers' linked /career — an old-site route, 404 here.</t>
        </is>
      </c>
      <c r="E13" s="5" t="inlineStr">
        <is>
          <t>Fixed — V2.2</t>
        </is>
      </c>
      <c r="F13" s="4" t="inlineStr">
        <is>
          <t>Careers points at the contact page, which has careers@ and a Careers enquiry type; a real careers template stays on the backlog.</t>
        </is>
      </c>
    </row>
    <row r="14">
      <c r="A14" s="2" t="n">
        <v>13</v>
      </c>
      <c r="B14" s="2" t="inlineStr">
        <is>
          <t>Dead &amp; wrong links</t>
        </is>
      </c>
      <c r="C14" s="6" t="inlineStr">
        <is>
          <t>High</t>
        </is>
      </c>
      <c r="D14" s="4" t="inlineStr">
        <is>
          <t>Footer 'Terms of service' linked /terms-service — 404; the page does not exist in this build.</t>
        </is>
      </c>
      <c r="E14" s="5" t="inlineStr">
        <is>
          <t>Fixed — V2.2</t>
        </is>
      </c>
      <c r="F14" s="4" t="inlineStr">
        <is>
          <t>Real stub page generated in both languages, noindex, clearly marked as awaiting final legal text.</t>
        </is>
      </c>
    </row>
    <row r="15">
      <c r="A15" s="2" t="n">
        <v>14</v>
      </c>
      <c r="B15" s="2" t="inlineStr">
        <is>
          <t>Dead &amp; wrong links</t>
        </is>
      </c>
      <c r="C15" s="6" t="inlineStr">
        <is>
          <t>High</t>
        </is>
      </c>
      <c r="D15" s="4" t="inlineStr">
        <is>
          <t>Footer 'Privacy policy' linked /privacy-policy — 404. A privacy policy is required under PDPL for a Saudi commercial site.</t>
        </is>
      </c>
      <c r="E15" s="5" t="inlineStr">
        <is>
          <t>Fixed — V2.2</t>
        </is>
      </c>
      <c r="F15" s="4" t="inlineStr">
        <is>
          <t>Stub page generated (noindex); the real text remains a launch blocker on the client list.</t>
        </is>
      </c>
    </row>
    <row r="16">
      <c r="A16" s="2" t="n">
        <v>15</v>
      </c>
      <c r="B16" s="2" t="inlineStr">
        <is>
          <t>Dead &amp; wrong links</t>
        </is>
      </c>
      <c r="C16" s="6" t="inlineStr">
        <is>
          <t>High</t>
        </is>
      </c>
      <c r="D16" s="4" t="inlineStr">
        <is>
          <t>Every insight/post title linked /blog — 404.</t>
        </is>
      </c>
      <c r="E16" s="5" t="inlineStr">
        <is>
          <t>Fixed — V2.2</t>
        </is>
      </c>
      <c r="F16" s="4" t="inlineStr">
        <is>
          <t>Home-page cards link to the insights listing; on the insights page titles are plain headings until the post template exists.</t>
        </is>
      </c>
    </row>
    <row r="17">
      <c r="A17" s="2" t="n">
        <v>16</v>
      </c>
      <c r="B17" s="2" t="inlineStr">
        <is>
          <t>Dead &amp; wrong links</t>
        </is>
      </c>
      <c r="C17" s="3" t="inlineStr">
        <is>
          <t>Critical</t>
        </is>
      </c>
      <c r="D17" s="4" t="inlineStr">
        <is>
          <t>All 38 service cards carried two links each to /service-details/&lt;number&gt; — a URL scheme that both 404s and does not match the live site's slugs.</t>
        </is>
      </c>
      <c r="E17" s="5" t="inlineStr">
        <is>
          <t>Fixed — V2.2</t>
        </is>
      </c>
      <c r="F17" s="4" t="inlineStr">
        <is>
          <t>Cards render unlinked until the detail template is built; the correct future slug for each of the 38 services is recorded in content.SERVICE_SLUGS.</t>
        </is>
      </c>
    </row>
    <row r="18">
      <c r="A18" s="2" t="n">
        <v>17</v>
      </c>
      <c r="B18" s="2" t="inlineStr">
        <is>
          <t>Dead &amp; wrong links</t>
        </is>
      </c>
      <c r="C18" s="6" t="inlineStr">
        <is>
          <t>High</t>
        </is>
      </c>
      <c r="D18" s="4" t="inlineStr">
        <is>
          <t>Service-detail links collided: the index used was per-discipline, so every discipline's first service pointed at the same URL.</t>
        </is>
      </c>
      <c r="E18" s="5" t="inlineStr">
        <is>
          <t>Fixed — V2.2</t>
        </is>
      </c>
      <c r="F18" s="4" t="inlineStr">
        <is>
          <t>Same resolution — unlinked now, slug map for later.</t>
        </is>
      </c>
    </row>
    <row r="19">
      <c r="A19" s="2" t="n">
        <v>18</v>
      </c>
      <c r="B19" s="2" t="inlineStr">
        <is>
          <t>Dead &amp; wrong links</t>
        </is>
      </c>
      <c r="C19" s="6" t="inlineStr">
        <is>
          <t>High</t>
        </is>
      </c>
      <c r="D19" s="4" t="inlineStr">
        <is>
          <t>Projects page sector filter chips were href='#' decoys: clicking jumped to the top and filtered nothing, while the lede promised filtering.</t>
        </is>
      </c>
      <c r="E19" s="5" t="inlineStr">
        <is>
          <t>Fixed — V2.2</t>
        </is>
      </c>
      <c r="F19" s="4" t="inlineStr">
        <is>
          <t>Chips are buttons with a real client-side sector filter and aria-pressed state.</t>
        </is>
      </c>
    </row>
    <row r="20">
      <c r="A20" s="2" t="n">
        <v>19</v>
      </c>
      <c r="B20" s="2" t="inlineStr">
        <is>
          <t>Dead &amp; wrong links</t>
        </is>
      </c>
      <c r="C20" s="7" t="inlineStr">
        <is>
          <t>Medium</t>
        </is>
      </c>
      <c r="D20" s="4" t="inlineStr">
        <is>
          <t>Services 'All disciplines' chip was href='#' — jump to page top, no state change.</t>
        </is>
      </c>
      <c r="E20" s="5" t="inlineStr">
        <is>
          <t>Fixed — V2.2</t>
        </is>
      </c>
      <c r="F20" s="4" t="inlineStr">
        <is>
          <t>Anchors to the list start; chips track the active selection on click.</t>
        </is>
      </c>
    </row>
    <row r="21">
      <c r="A21" s="2" t="n">
        <v>20</v>
      </c>
      <c r="B21" s="2" t="inlineStr">
        <is>
          <t>Dead &amp; wrong links</t>
        </is>
      </c>
      <c r="C21" s="6" t="inlineStr">
        <is>
          <t>High</t>
        </is>
      </c>
      <c r="D21" s="4" t="inlineStr">
        <is>
          <t>No 404 page existed to catch any of the dead ends above.</t>
        </is>
      </c>
      <c r="E21" s="5" t="inlineStr">
        <is>
          <t>Fixed — V2.2</t>
        </is>
      </c>
      <c r="F21" s="4" t="inlineStr">
        <is>
          <t>Branded 404 in both languages (noindex), with a route home.</t>
        </is>
      </c>
    </row>
    <row r="22">
      <c r="A22" s="2" t="n">
        <v>21</v>
      </c>
      <c r="B22" s="2" t="inlineStr">
        <is>
          <t>Contact &amp; forms</t>
        </is>
      </c>
      <c r="C22" s="3" t="inlineStr">
        <is>
          <t>Critical</t>
        </is>
      </c>
      <c r="D22" s="4" t="inlineStr">
        <is>
          <t>The contact form had onsubmit='return false' — every filled enquiry was silently discarded with zero feedback.</t>
        </is>
      </c>
      <c r="E22" s="5" t="inlineStr">
        <is>
          <t>Fixed — V2.2</t>
        </is>
      </c>
      <c r="F22" s="4" t="inlineStr">
        <is>
          <t>Submit now opens a pre-filled email to sales@datacore.com.sa built from the fields (native required validation first). Swap for a POST when the back end lands.</t>
        </is>
      </c>
    </row>
    <row r="23">
      <c r="A23" s="2" t="n">
        <v>22</v>
      </c>
      <c r="B23" s="2" t="inlineStr">
        <is>
          <t>Contact &amp; forms</t>
        </is>
      </c>
      <c r="C23" s="6" t="inlineStr">
        <is>
          <t>High</t>
        </is>
      </c>
      <c r="D23" s="4" t="inlineStr">
        <is>
          <t>The form note promised 'we acknowledge every enquiry with a reference number' while the form sent nothing at all.</t>
        </is>
      </c>
      <c r="E23" s="5" t="inlineStr">
        <is>
          <t>Fixed — V2.2</t>
        </is>
      </c>
      <c r="F23" s="4" t="inlineStr">
        <is>
          <t>The promise is now backed by a real channel (email to sales@).</t>
        </is>
      </c>
    </row>
    <row r="24">
      <c r="A24" s="2" t="n">
        <v>23</v>
      </c>
      <c r="B24" s="2" t="inlineStr">
        <is>
          <t>Contact &amp; forms</t>
        </is>
      </c>
      <c r="C24" s="6" t="inlineStr">
        <is>
          <t>High</t>
        </is>
      </c>
      <c r="D24" s="4" t="inlineStr">
        <is>
          <t>The RFQ confirmation displayed a fabricated reference number (RFQ-2026-0417) as if it were real.</t>
        </is>
      </c>
      <c r="E24" s="5" t="inlineStr">
        <is>
          <t>Fixed — V2.2</t>
        </is>
      </c>
      <c r="F24" s="4" t="inlineStr">
        <is>
          <t>Removed; the confirmation states the response commitment without inventing a reference.</t>
        </is>
      </c>
    </row>
    <row r="25">
      <c r="A25" s="2" t="n">
        <v>24</v>
      </c>
      <c r="B25" s="2" t="inlineStr">
        <is>
          <t>Contact &amp; forms</t>
        </is>
      </c>
      <c r="C25" s="6" t="inlineStr">
        <is>
          <t>High</t>
        </is>
      </c>
      <c r="D25" s="4" t="inlineStr">
        <is>
          <t>RFQ send accepted a completely empty contact block — name, email and phone all '—', unanswerable.</t>
        </is>
      </c>
      <c r="E25" s="5" t="inlineStr">
        <is>
          <t>Fixed — V2.2</t>
        </is>
      </c>
      <c r="F25" s="4" t="inlineStr">
        <is>
          <t>Send requires a name plus an email or phone; localized inline message and focus on the missing field.</t>
        </is>
      </c>
    </row>
    <row r="26">
      <c r="A26" s="2" t="n">
        <v>25</v>
      </c>
      <c r="B26" s="2" t="inlineStr">
        <is>
          <t>Contact &amp; forms</t>
        </is>
      </c>
      <c r="C26" s="7" t="inlineStr">
        <is>
          <t>Medium</t>
        </is>
      </c>
      <c r="D26" s="4" t="inlineStr">
        <is>
          <t>Contact form fields had no name attributes — breaks browser autofill and future back-end wiring.</t>
        </is>
      </c>
      <c r="E26" s="5" t="inlineStr">
        <is>
          <t>Fixed — V2.2</t>
        </is>
      </c>
      <c r="F26" s="4" t="inlineStr">
        <is>
          <t>name attributes on all fields.</t>
        </is>
      </c>
    </row>
    <row r="27">
      <c r="A27" s="2" t="n">
        <v>26</v>
      </c>
      <c r="B27" s="2" t="inlineStr">
        <is>
          <t>Contact &amp; forms</t>
        </is>
      </c>
      <c r="C27" s="8" t="inlineStr">
        <is>
          <t>Low</t>
        </is>
      </c>
      <c r="D27" s="4" t="inlineStr">
        <is>
          <t>No autocomplete attributes (name, organization, email, tel).</t>
        </is>
      </c>
      <c r="E27" s="5" t="inlineStr">
        <is>
          <t>Fixed — V2.2</t>
        </is>
      </c>
      <c r="F27" s="4" t="inlineStr">
        <is>
          <t>Added on contact form and RFQ contact fields.</t>
        </is>
      </c>
    </row>
    <row r="28">
      <c r="A28" s="2" t="n">
        <v>27</v>
      </c>
      <c r="B28" s="2" t="inlineStr">
        <is>
          <t>Contact &amp; forms</t>
        </is>
      </c>
      <c r="C28" s="6" t="inlineStr">
        <is>
          <t>High</t>
        </is>
      </c>
      <c r="D28" s="4" t="inlineStr">
        <is>
          <t>RFQ drawer labels were not associated with their inputs (no for/id) — screen readers announced unnamed fields.</t>
        </is>
      </c>
      <c r="E28" s="5" t="inlineStr">
        <is>
          <t>Fixed — V2.2</t>
        </is>
      </c>
      <c r="F28" s="4" t="inlineStr">
        <is>
          <t>Explicit for/id association on every RFQ field.</t>
        </is>
      </c>
    </row>
    <row r="29">
      <c r="A29" s="2" t="n">
        <v>28</v>
      </c>
      <c r="B29" s="2" t="inlineStr">
        <is>
          <t>Contact &amp; forms</t>
        </is>
      </c>
      <c r="C29" s="7" t="inlineStr">
        <is>
          <t>Medium</t>
        </is>
      </c>
      <c r="D29" s="4" t="inlineStr">
        <is>
          <t>The WhatsApp link uses the Riyadh landline number — confirm it actually runs WhatsApp Business, or supply the right mobile.</t>
        </is>
      </c>
      <c r="E29" s="9" t="inlineStr">
        <is>
          <t>Blocker — client input</t>
        </is>
      </c>
      <c r="F29" s="4" t="inlineStr">
        <is>
          <t>Number centralized in content.py (WHATSAPP) with a TODO; one-line change when confirmed.</t>
        </is>
      </c>
    </row>
    <row r="30">
      <c r="A30" s="2" t="n">
        <v>29</v>
      </c>
      <c r="B30" s="2" t="inlineStr">
        <is>
          <t>Catalogue</t>
        </is>
      </c>
      <c r="C30" s="6" t="inlineStr">
        <is>
          <t>High</t>
        </is>
      </c>
      <c r="D30" s="4" t="inlineStr">
        <is>
          <t>The RFQ basket was lost on any navigation or reload.</t>
        </is>
      </c>
      <c r="E30" s="5" t="inlineStr">
        <is>
          <t>Fixed — V2.2</t>
        </is>
      </c>
      <c r="F30" s="4" t="inlineStr">
        <is>
          <t>Basket persists in localStorage (guarded try/catch so private windows and file:// degrade gracefully); restored on load, unknown SKUs dropped.</t>
        </is>
      </c>
    </row>
    <row r="31">
      <c r="A31" s="2" t="n">
        <v>30</v>
      </c>
      <c r="B31" s="2" t="inlineStr">
        <is>
          <t>Catalogue</t>
        </is>
      </c>
      <c r="C31" s="3" t="inlineStr">
        <is>
          <t>Critical</t>
        </is>
      </c>
      <c r="D31" s="4" t="inlineStr">
        <is>
          <t>Product details could only be opened with a mouse — thumbnails and titles were divs/headings with click handlers, unreachable by keyboard.</t>
        </is>
      </c>
      <c r="E31" s="5" t="inlineStr">
        <is>
          <t>Fixed — V2.2</t>
        </is>
      </c>
      <c r="F31" s="4" t="inlineStr">
        <is>
          <t>Thumbnails and titles are real buttons with accessible names; fully keyboard operable.</t>
        </is>
      </c>
    </row>
    <row r="32">
      <c r="A32" s="2" t="n">
        <v>31</v>
      </c>
      <c r="B32" s="2" t="inlineStr">
        <is>
          <t>Catalogue</t>
        </is>
      </c>
      <c r="C32" s="6" t="inlineStr">
        <is>
          <t>High</t>
        </is>
      </c>
      <c r="D32" s="4" t="inlineStr">
        <is>
          <t>Closed drawers stayed keyboard-tabbable while aria-hidden — focus could vanish into invisible UI.</t>
        </is>
      </c>
      <c r="E32" s="5" t="inlineStr">
        <is>
          <t>Fixed — V2.2</t>
        </is>
      </c>
      <c r="F32" s="4" t="inlineStr">
        <is>
          <t>Drawers toggle visibility with the slide transition; nothing inside is reachable while closed.</t>
        </is>
      </c>
    </row>
    <row r="33">
      <c r="A33" s="2" t="n">
        <v>32</v>
      </c>
      <c r="B33" s="2" t="inlineStr">
        <is>
          <t>Catalogue</t>
        </is>
      </c>
      <c r="C33" s="7" t="inlineStr">
        <is>
          <t>Medium</t>
        </is>
      </c>
      <c r="D33" s="4" t="inlineStr">
        <is>
          <t>No focus management: opening a drawer left focus behind it; closing did not return focus.</t>
        </is>
      </c>
      <c r="E33" s="5" t="inlineStr">
        <is>
          <t>Fixed — V2.2</t>
        </is>
      </c>
      <c r="F33" s="4" t="inlineStr">
        <is>
          <t>Focus moves to the drawer's close button on open and returns to the opener on close.</t>
        </is>
      </c>
    </row>
    <row r="34">
      <c r="A34" s="2" t="n">
        <v>33</v>
      </c>
      <c r="B34" s="2" t="inlineStr">
        <is>
          <t>Catalogue</t>
        </is>
      </c>
      <c r="C34" s="7" t="inlineStr">
        <is>
          <t>Medium</t>
        </is>
      </c>
      <c r="D34" s="4" t="inlineStr">
        <is>
          <t>Drawers lacked dialog semantics (role, aria-modal, accessible name).</t>
        </is>
      </c>
      <c r="E34" s="5" t="inlineStr">
        <is>
          <t>Fixed — V2.2</t>
        </is>
      </c>
      <c r="F34" s="4" t="inlineStr">
        <is>
          <t>role='dialog', aria-modal='true', aria-label on both drawers.</t>
        </is>
      </c>
    </row>
    <row r="35">
      <c r="A35" s="2" t="n">
        <v>34</v>
      </c>
      <c r="B35" s="2" t="inlineStr">
        <is>
          <t>Catalogue</t>
        </is>
      </c>
      <c r="C35" s="6" t="inlineStr">
        <is>
          <t>High</t>
        </is>
      </c>
      <c r="D35" s="4" t="inlineStr">
        <is>
          <t>'Download datasheet (PDF)' rendered on every product as a dead href='#' link.</t>
        </is>
      </c>
      <c r="E35" s="5" t="inlineStr">
        <is>
          <t>Fixed — V2.2</t>
        </is>
      </c>
      <c r="F35" s="4" t="inlineStr">
        <is>
          <t>Removed until real datasheets exist; misleading UI is worse than absence.</t>
        </is>
      </c>
    </row>
    <row r="36">
      <c r="A36" s="2" t="n">
        <v>35</v>
      </c>
      <c r="B36" s="2" t="inlineStr">
        <is>
          <t>Catalogue</t>
        </is>
      </c>
      <c r="C36" s="8" t="inlineStr">
        <is>
          <t>Low</t>
        </is>
      </c>
      <c r="D36" s="4" t="inlineStr">
        <is>
          <t>Adding from the details drawer did not update that drawer's own button to 'Added'.</t>
        </is>
      </c>
      <c r="E36" s="5" t="inlineStr">
        <is>
          <t>Fixed — V2.2</t>
        </is>
      </c>
      <c r="F36" s="4" t="inlineStr">
        <is>
          <t>The drawer footer re-renders in sync.</t>
        </is>
      </c>
    </row>
    <row r="37">
      <c r="A37" s="2" t="n">
        <v>36</v>
      </c>
      <c r="B37" s="2" t="inlineStr">
        <is>
          <t>Catalogue</t>
        </is>
      </c>
      <c r="C37" s="8" t="inlineStr">
        <is>
          <t>Low</t>
        </is>
      </c>
      <c r="D37" s="4" t="inlineStr">
        <is>
          <t>'Send request — 1 units' — pluralization ignored the count (EN).</t>
        </is>
      </c>
      <c r="E37" s="5" t="inlineStr">
        <is>
          <t>Fixed — V2.2</t>
        </is>
      </c>
      <c r="F37" s="4" t="inlineStr">
        <is>
          <t>unit/units switch; Arabic uses the correct invariant form.</t>
        </is>
      </c>
    </row>
    <row r="38">
      <c r="A38" s="2" t="n">
        <v>37</v>
      </c>
      <c r="B38" s="2" t="inlineStr">
        <is>
          <t>Catalogue</t>
        </is>
      </c>
      <c r="C38" s="7" t="inlineStr">
        <is>
          <t>Medium</t>
        </is>
      </c>
      <c r="D38" s="4" t="inlineStr">
        <is>
          <t>Search ignored spec values — 'PoE+', 'IP67' or 'Cat6A' found nothing despite being on the cards.</t>
        </is>
      </c>
      <c r="E38" s="5" t="inlineStr">
        <is>
          <t>Fixed — V2.2</t>
        </is>
      </c>
      <c r="F38" s="4" t="inlineStr">
        <is>
          <t>Spec values joined into the search haystack.</t>
        </is>
      </c>
    </row>
    <row r="39">
      <c r="A39" s="2" t="n">
        <v>38</v>
      </c>
      <c r="B39" s="2" t="inlineStr">
        <is>
          <t>Catalogue</t>
        </is>
      </c>
      <c r="C39" s="7" t="inlineStr">
        <is>
          <t>Medium</t>
        </is>
      </c>
      <c r="D39" s="4" t="inlineStr">
        <is>
          <t>A spec facet titled 'Category' (Cat6A / OM4) sat below the main product 'Category' facet — two filters with one name.</t>
        </is>
      </c>
      <c r="E39" s="5" t="inlineStr">
        <is>
          <t>Fixed — V2.2</t>
        </is>
      </c>
      <c r="F39" s="4" t="inlineStr">
        <is>
          <t>Displayed as 'Cable category' / فئة الكابل via the localized facet-title map (data key unchanged).</t>
        </is>
      </c>
    </row>
    <row r="40">
      <c r="A40" s="2" t="n">
        <v>39</v>
      </c>
      <c r="B40" s="2" t="inlineStr">
        <is>
          <t>Catalogue</t>
        </is>
      </c>
      <c r="C40" s="8" t="inlineStr">
        <is>
          <t>Low</t>
        </is>
      </c>
      <c r="D40" s="4" t="inlineStr">
        <is>
          <t>'IP rating' exists on 8 products but was not offered as a facet.</t>
        </is>
      </c>
      <c r="E40" s="5" t="inlineStr">
        <is>
          <t>Fixed — V2.2</t>
        </is>
      </c>
      <c r="F40" s="4" t="inlineStr">
        <is>
          <t>Added to SPEC_FACETS with localized title.</t>
        </is>
      </c>
    </row>
    <row r="41">
      <c r="A41" s="2" t="n">
        <v>40</v>
      </c>
      <c r="B41" s="2" t="inlineStr">
        <is>
          <t>Catalogue</t>
        </is>
      </c>
      <c r="C41" s="7" t="inlineStr">
        <is>
          <t>Medium</t>
        </is>
      </c>
      <c r="D41" s="4" t="inlineStr">
        <is>
          <t>No noscript fallback — with JS off the catalogue was an empty page with no explanation.</t>
        </is>
      </c>
      <c r="E41" s="5" t="inlineStr">
        <is>
          <t>Fixed — V2.2</t>
        </is>
      </c>
      <c r="F41" s="4" t="inlineStr">
        <is>
          <t>noscript note pointing at sales@datacore.com.sa.</t>
        </is>
      </c>
    </row>
    <row r="42">
      <c r="A42" s="2" t="n">
        <v>41</v>
      </c>
      <c r="B42" s="2" t="inlineStr">
        <is>
          <t>Bilingual &amp; RTL</t>
        </is>
      </c>
      <c r="C42" s="6" t="inlineStr">
        <is>
          <t>High</t>
        </is>
      </c>
      <c r="D42" s="4" t="inlineStr">
        <is>
          <t>Arabic stats band misaligned: figures hugged the left edge of each cell while their labels and marker bars sat right (direction:ltr + text-align:start).</t>
        </is>
      </c>
      <c r="E42" s="5" t="inlineStr">
        <is>
          <t>Fixed — V2.2</t>
        </is>
      </c>
      <c r="F42" s="4" t="inlineStr">
        <is>
          <t>html[dir=rtl] .stat b{text-align:end} — figures, bars and labels align together; verified visually.</t>
        </is>
      </c>
    </row>
    <row r="43">
      <c r="A43" s="2" t="n">
        <v>42</v>
      </c>
      <c r="B43" s="2" t="inlineStr">
        <is>
          <t>Bilingual &amp; RTL</t>
        </is>
      </c>
      <c r="C43" s="7" t="inlineStr">
        <is>
          <t>Medium</t>
        </is>
      </c>
      <c r="D43" s="4" t="inlineStr">
        <is>
          <t>Spec facet titles rendered raw English (Resolution, Type, Rack...) on the Arabic catalogue.</t>
        </is>
      </c>
      <c r="E43" s="5" t="inlineStr">
        <is>
          <t>Fixed — V2.2</t>
        </is>
      </c>
      <c r="F43" s="4" t="inlineStr">
        <is>
          <t>facet_titles map per language; values stay Latin technical data with dir handling.</t>
        </is>
      </c>
    </row>
    <row r="44">
      <c r="A44" s="2" t="n">
        <v>43</v>
      </c>
      <c r="B44" s="2" t="inlineStr">
        <is>
          <t>Bilingual &amp; RTL</t>
        </is>
      </c>
      <c r="C44" s="7" t="inlineStr">
        <is>
          <t>Medium</t>
        </is>
      </c>
      <c r="D44" s="4" t="inlineStr">
        <is>
          <t>aria-labels 'Sort', 'Grid', 'List', 'Close', 'Qty' were English on Arabic pages.</t>
        </is>
      </c>
      <c r="E44" s="5" t="inlineStr">
        <is>
          <t>Fixed — V2.2</t>
        </is>
      </c>
      <c r="F44" s="4" t="inlineStr">
        <is>
          <t>All localized via PROD_STR.</t>
        </is>
      </c>
    </row>
    <row r="45">
      <c r="A45" s="2" t="n">
        <v>44</v>
      </c>
      <c r="B45" s="2" t="inlineStr">
        <is>
          <t>Bilingual &amp; RTL</t>
        </is>
      </c>
      <c r="C45" s="8" t="inlineStr">
        <is>
          <t>Low</t>
        </is>
      </c>
      <c r="D45" s="4" t="inlineStr">
        <is>
          <t>Social icon labels read 'Datacore on LinkedIn' (English) on Arabic pages.</t>
        </is>
      </c>
      <c r="E45" s="5" t="inlineStr">
        <is>
          <t>Fixed — V2.2</t>
        </is>
      </c>
      <c r="F45" s="4" t="inlineStr">
        <is>
          <t>Labels are the network name alone — language-neutral.</t>
        </is>
      </c>
    </row>
    <row r="46">
      <c r="A46" s="2" t="n">
        <v>45</v>
      </c>
      <c r="B46" s="2" t="inlineStr">
        <is>
          <t>Bilingual &amp; RTL</t>
        </is>
      </c>
      <c r="C46" s="8" t="inlineStr">
        <is>
          <t>Low</t>
        </is>
      </c>
      <c r="D46" s="4" t="inlineStr">
        <is>
          <t>Products page breadcrumb lacked the aria-label the other pages' breadcrumbs have.</t>
        </is>
      </c>
      <c r="E46" s="5" t="inlineStr">
        <is>
          <t>Fixed — V2.2</t>
        </is>
      </c>
      <c r="F46" s="4" t="inlineStr">
        <is>
          <t>Localized 'Breadcrumb' label added.</t>
        </is>
      </c>
    </row>
    <row r="47">
      <c r="A47" s="2" t="n">
        <v>46</v>
      </c>
      <c r="B47" s="2" t="inlineStr">
        <is>
          <t>Bilingual &amp; RTL</t>
        </is>
      </c>
      <c r="C47" s="7" t="inlineStr">
        <is>
          <t>Medium</t>
        </is>
      </c>
      <c r="D47" s="4" t="inlineStr">
        <is>
          <t>Arabic grammar slip in the partners heading: الشركات المصنعة المعتمدون — mixed agreement (non-human plural takes feminine singular).</t>
        </is>
      </c>
      <c r="E47" s="5" t="inlineStr">
        <is>
          <t>Fixed — V2.2</t>
        </is>
      </c>
      <c r="F47" s="4" t="inlineStr">
        <is>
          <t>Now الشركات المصنّعة المعتمدة لتركيب أنظمتها.</t>
        </is>
      </c>
    </row>
    <row r="48">
      <c r="A48" s="2" t="n">
        <v>47</v>
      </c>
      <c r="B48" s="2" t="inlineStr">
        <is>
          <t>Bilingual &amp; RTL</t>
        </is>
      </c>
      <c r="C48" s="7" t="inlineStr">
        <is>
          <t>Medium</t>
        </is>
      </c>
      <c r="D48" s="4" t="inlineStr">
        <is>
          <t>Arabic pages never loaded IBM Plex Mono although the catalogue hardcodes it for SKUs/part numbers — they fell to a generic monospace, losing the 0/O-distinction rationale.</t>
        </is>
      </c>
      <c r="E48" s="5" t="inlineStr">
        <is>
          <t>Fixed — V2.4</t>
        </is>
      </c>
      <c r="F48" s="4" t="inlineStr">
        <is>
          <t>Plex Mono added to the AR font query, replacing two Archivo weights that Plex Sans Arabic shadowed entirely (net bytes ~neutral).</t>
        </is>
      </c>
    </row>
    <row r="49">
      <c r="A49" s="2" t="n">
        <v>48</v>
      </c>
      <c r="B49" s="2" t="inlineStr">
        <is>
          <t>Bilingual &amp; RTL</t>
        </is>
      </c>
      <c r="C49" s="8" t="inlineStr">
        <is>
          <t>Low</t>
        </is>
      </c>
      <c r="D49" s="4" t="inlineStr">
        <is>
          <t>Navigation says مقالات تقنية while the page itself is titled ملاحظات تقنية — inconsistent naming for the same section.</t>
        </is>
      </c>
      <c r="E49" s="10" t="inlineStr">
        <is>
          <t>Open — minor</t>
        </is>
      </c>
      <c r="F49" s="4" t="inlineStr">
        <is>
          <t>Left for the native Arabic review to settle one term; flagged in the review notes.</t>
        </is>
      </c>
    </row>
    <row r="50">
      <c r="A50" s="2" t="n">
        <v>49</v>
      </c>
      <c r="B50" s="2" t="inlineStr">
        <is>
          <t>Bilingual &amp; RTL</t>
        </is>
      </c>
      <c r="C50" s="3" t="inlineStr">
        <is>
          <t>Critical</t>
        </is>
      </c>
      <c r="D50" s="4" t="inlineStr">
        <is>
          <t>The Arabic copy is a first draft awaiting native technical review — sector vocabulary (التيار الخفيف، النداء والإخلاء الصوتي، discipline names) must match the client's tender language.</t>
        </is>
      </c>
      <c r="E50" s="9" t="inlineStr">
        <is>
          <t>Blocker — client input</t>
        </is>
      </c>
      <c r="F50" s="4" t="inlineStr">
        <is>
          <t>Unchanged by design; existing launch blocker. Do not ship AR without this pass.</t>
        </is>
      </c>
    </row>
    <row r="51">
      <c r="A51" s="2" t="n">
        <v>50</v>
      </c>
      <c r="B51" s="2" t="inlineStr">
        <is>
          <t>Bilingual &amp; RTL</t>
        </is>
      </c>
      <c r="C51" s="6" t="inlineStr">
        <is>
          <t>High</t>
        </is>
      </c>
      <c r="D51" s="4" t="inlineStr">
        <is>
          <t>hreflang alternates used relative URLs (invalid per Google's spec) and there was no x-default.</t>
        </is>
      </c>
      <c r="E51" s="5" t="inlineStr">
        <is>
          <t>Fixed — V2.2</t>
        </is>
      </c>
      <c r="F51" s="4" t="inlineStr">
        <is>
          <t>Absolute URLs on the production origin plus x-default pointing at the English page.</t>
        </is>
      </c>
    </row>
    <row r="52">
      <c r="A52" s="2" t="n">
        <v>51</v>
      </c>
      <c r="B52" s="2" t="inlineStr">
        <is>
          <t>SEO &amp; metadata</t>
        </is>
      </c>
      <c r="C52" s="6" t="inlineStr">
        <is>
          <t>High</t>
        </is>
      </c>
      <c r="D52" s="4" t="inlineStr">
        <is>
          <t>No canonical URLs on any page.</t>
        </is>
      </c>
      <c r="E52" s="5" t="inlineStr">
        <is>
          <t>Fixed — V2.2</t>
        </is>
      </c>
      <c r="F52" s="4" t="inlineStr">
        <is>
          <t>rel=canonical to the production origin on all 20 pages.</t>
        </is>
      </c>
    </row>
    <row r="53">
      <c r="A53" s="2" t="n">
        <v>52</v>
      </c>
      <c r="B53" s="2" t="inlineStr">
        <is>
          <t>SEO &amp; metadata</t>
        </is>
      </c>
      <c r="C53" s="6" t="inlineStr">
        <is>
          <t>High</t>
        </is>
      </c>
      <c r="D53" s="4" t="inlineStr">
        <is>
          <t>No Open Graph or Twitter metadata — links shared to WhatsApp/LinkedIn (the client's primary channels) rendered as bare URLs.</t>
        </is>
      </c>
      <c r="E53" s="5" t="inlineStr">
        <is>
          <t>Fixed — V2.2</t>
        </is>
      </c>
      <c r="F53" s="4" t="inlineStr">
        <is>
          <t>og:type/site_name/title/description/url/locale + twitter:card on every page.</t>
        </is>
      </c>
    </row>
    <row r="54">
      <c r="A54" s="2" t="n">
        <v>53</v>
      </c>
      <c r="B54" s="2" t="inlineStr">
        <is>
          <t>SEO &amp; metadata</t>
        </is>
      </c>
      <c r="C54" s="7" t="inlineStr">
        <is>
          <t>Medium</t>
        </is>
      </c>
      <c r="D54" s="4" t="inlineStr">
        <is>
          <t>No favicon — a 404 on /favicon.ico and a generic tab icon.</t>
        </is>
      </c>
      <c r="E54" s="5" t="inlineStr">
        <is>
          <t>Fixed — V2.2</t>
        </is>
      </c>
      <c r="F54" s="4" t="inlineStr">
        <is>
          <t>SVG favicon built at build time from the actual logo mark, inlined as a data URI.</t>
        </is>
      </c>
    </row>
    <row r="55">
      <c r="A55" s="2" t="n">
        <v>54</v>
      </c>
      <c r="B55" s="2" t="inlineStr">
        <is>
          <t>SEO &amp; metadata</t>
        </is>
      </c>
      <c r="C55" s="8" t="inlineStr">
        <is>
          <t>Low</t>
        </is>
      </c>
      <c r="D55" s="4" t="inlineStr">
        <is>
          <t>No theme-color or color-scheme declarations.</t>
        </is>
      </c>
      <c r="E55" s="5" t="inlineStr">
        <is>
          <t>Fixed — V2.2</t>
        </is>
      </c>
      <c r="F55" s="4" t="inlineStr">
        <is>
          <t>theme-color = accent teal; color-scheme:light in the stylesheet.</t>
        </is>
      </c>
    </row>
    <row r="56">
      <c r="A56" s="2" t="n">
        <v>55</v>
      </c>
      <c r="B56" s="2" t="inlineStr">
        <is>
          <t>SEO &amp; metadata</t>
        </is>
      </c>
      <c r="C56" s="7" t="inlineStr">
        <is>
          <t>Medium</t>
        </is>
      </c>
      <c r="D56" s="4" t="inlineStr">
        <is>
          <t>No robots.txt.</t>
        </is>
      </c>
      <c r="E56" s="5" t="inlineStr">
        <is>
          <t>Fixed — V2.2</t>
        </is>
      </c>
      <c r="F56" s="4" t="inlineStr">
        <is>
          <t>Generated by build.py, pointing at the sitemap.</t>
        </is>
      </c>
    </row>
    <row r="57">
      <c r="A57" s="2" t="n">
        <v>56</v>
      </c>
      <c r="B57" s="2" t="inlineStr">
        <is>
          <t>SEO &amp; metadata</t>
        </is>
      </c>
      <c r="C57" s="7" t="inlineStr">
        <is>
          <t>Medium</t>
        </is>
      </c>
      <c r="D57" s="4" t="inlineStr">
        <is>
          <t>No sitemap.xml.</t>
        </is>
      </c>
      <c r="E57" s="5" t="inlineStr">
        <is>
          <t>Fixed — V2.2</t>
        </is>
      </c>
      <c r="F57" s="4" t="inlineStr">
        <is>
          <t>Generated with the 14 indexable pages and lastmod dates.</t>
        </is>
      </c>
    </row>
    <row r="58">
      <c r="A58" s="2" t="n">
        <v>57</v>
      </c>
      <c r="B58" s="2" t="inlineStr">
        <is>
          <t>SEO &amp; metadata</t>
        </is>
      </c>
      <c r="C58" s="7" t="inlineStr">
        <is>
          <t>Medium</t>
        </is>
      </c>
      <c r="D58" s="4" t="inlineStr">
        <is>
          <t>No structured data anywhere.</t>
        </is>
      </c>
      <c r="E58" s="5" t="inlineStr">
        <is>
          <t>Fixed — V2.2</t>
        </is>
      </c>
      <c r="F58" s="4" t="inlineStr">
        <is>
          <t>Organization JSON-LD (facts strictly from content.py) on home + contact. LocalBusiness per office, BreadcrumbList, Service/Product/Article remain recommended with the new templates.</t>
        </is>
      </c>
    </row>
    <row r="59">
      <c r="A59" s="2" t="n">
        <v>58</v>
      </c>
      <c r="B59" s="2" t="inlineStr">
        <is>
          <t>SEO &amp; metadata</t>
        </is>
      </c>
      <c r="C59" s="8" t="inlineStr">
        <is>
          <t>Low</t>
        </is>
      </c>
      <c r="D59" s="4" t="inlineStr">
        <is>
          <t>Utility pages (terms/privacy stubs, 404) must not be indexed while placeholder.</t>
        </is>
      </c>
      <c r="E59" s="5" t="inlineStr">
        <is>
          <t>Fixed — V2.2</t>
        </is>
      </c>
      <c r="F59" s="4" t="inlineStr">
        <is>
          <t>meta robots noindex baked into those templates.</t>
        </is>
      </c>
    </row>
    <row r="60">
      <c r="A60" s="2" t="n">
        <v>59</v>
      </c>
      <c r="B60" s="2" t="inlineStr">
        <is>
          <t>SEO &amp; metadata</t>
        </is>
      </c>
      <c r="C60" s="8" t="inlineStr">
        <is>
          <t>Low</t>
        </is>
      </c>
      <c r="D60" s="4" t="inlineStr">
        <is>
          <t>Two of the three insight posts share the same date (3 March 2026).</t>
        </is>
      </c>
      <c r="E60" s="10" t="inlineStr">
        <is>
          <t>Open — minor</t>
        </is>
      </c>
      <c r="F60" s="4" t="inlineStr">
        <is>
          <t>Editorial: confirm intended publish dates with the client before launch.</t>
        </is>
      </c>
    </row>
    <row r="61">
      <c r="A61" s="2" t="n">
        <v>60</v>
      </c>
      <c r="B61" s="2" t="inlineStr">
        <is>
          <t>SEO &amp; metadata</t>
        </is>
      </c>
      <c r="C61" s="7" t="inlineStr">
        <is>
          <t>Medium</t>
        </is>
      </c>
      <c r="D61" s="4" t="inlineStr">
        <is>
          <t>Posts lack machine-readable dates (time/datetime) and Article schema.</t>
        </is>
      </c>
      <c r="E61" s="11" t="inlineStr">
        <is>
          <t>Recommended next</t>
        </is>
      </c>
      <c r="F61" s="4" t="inlineStr">
        <is>
          <t>Build with the blog-post template (backlog).</t>
        </is>
      </c>
    </row>
    <row r="62">
      <c r="A62" s="2" t="n">
        <v>61</v>
      </c>
      <c r="B62" s="2" t="inlineStr">
        <is>
          <t>Performance &amp; delivery</t>
        </is>
      </c>
      <c r="C62" s="7" t="inlineStr">
        <is>
          <t>Medium</t>
        </is>
      </c>
      <c r="D62" s="4" t="inlineStr">
        <is>
          <t>The full stylesheet is inlined into every page (~25KB x 20 pages) — right for a file:// prototype, wrong for production caching.</t>
        </is>
      </c>
      <c r="E62" s="11" t="inlineStr">
        <is>
          <t>Recommended next</t>
        </is>
      </c>
      <c r="F62" s="4" t="inlineStr">
        <is>
          <t>Extract to one cached site.css at deployment; backlog item retained.</t>
        </is>
      </c>
    </row>
    <row r="63">
      <c r="A63" s="2" t="n">
        <v>62</v>
      </c>
      <c r="B63" s="2" t="inlineStr">
        <is>
          <t>Performance &amp; delivery</t>
        </is>
      </c>
      <c r="C63" s="7" t="inlineStr">
        <is>
          <t>Medium</t>
        </is>
      </c>
      <c r="D63" s="4" t="inlineStr">
        <is>
          <t>The logo SVG is inlined twice per page (~42KB per page).</t>
        </is>
      </c>
      <c r="E63" s="11" t="inlineStr">
        <is>
          <t>Recommended next</t>
        </is>
      </c>
      <c r="F63" s="4" t="inlineStr">
        <is>
          <t>Serve as cached external assets (dark + light variants) at deployment.</t>
        </is>
      </c>
    </row>
    <row r="64">
      <c r="A64" s="2" t="n">
        <v>63</v>
      </c>
      <c r="B64" s="2" t="inlineStr">
        <is>
          <t>Performance &amp; delivery</t>
        </is>
      </c>
      <c r="C64" s="6" t="inlineStr">
        <is>
          <t>High</t>
        </is>
      </c>
      <c r="D64" s="4" t="inlineStr">
        <is>
          <t>Google Fonts load pre-consent — the visitor's IP reaches Google before any choice, inconsistent with the map facade's privacy rationale and the site's PDPL posture.</t>
        </is>
      </c>
      <c r="E64" s="11" t="inlineStr">
        <is>
          <t>Recommended next</t>
        </is>
      </c>
      <c r="F64" s="4" t="inlineStr">
        <is>
          <t>Self-host the three families at launch (font files on the site's own origin); removes the last pre-consent third-party call.</t>
        </is>
      </c>
    </row>
    <row r="65">
      <c r="A65" s="2" t="n">
        <v>64</v>
      </c>
      <c r="B65" s="2" t="inlineStr">
        <is>
          <t>Performance &amp; delivery</t>
        </is>
      </c>
      <c r="C65" s="8" t="inlineStr">
        <is>
          <t>Low</t>
        </is>
      </c>
      <c r="D65" s="4" t="inlineStr">
        <is>
          <t>Arabic pages loaded two Archivo weights that the Arabic font stack never used — wasted transfer.</t>
        </is>
      </c>
      <c r="E65" s="5" t="inlineStr">
        <is>
          <t>Fixed — V2.4</t>
        </is>
      </c>
      <c r="F65" s="4" t="inlineStr">
        <is>
          <t>Dropped in favour of Plex Mono (which is actually used).</t>
        </is>
      </c>
    </row>
    <row r="66">
      <c r="A66" s="2" t="n">
        <v>65</v>
      </c>
      <c r="B66" s="2" t="inlineStr">
        <is>
          <t>Performance &amp; delivery</t>
        </is>
      </c>
      <c r="C66" s="6" t="inlineStr">
        <is>
          <t>High</t>
        </is>
      </c>
      <c r="D66" s="4" t="inlineStr">
        <is>
          <t>37 SKUs inlined into products.html is fine; 1,000+ will not be — the page would exceed several MB.</t>
        </is>
      </c>
      <c r="E66" s="11" t="inlineStr">
        <is>
          <t>Recommended next</t>
        </is>
      </c>
      <c r="F66" s="4" t="inlineStr">
        <is>
          <t>Existing plan holds: server-side products API + pagination before bulk import; catalogue JS already isolates the data source.</t>
        </is>
      </c>
    </row>
    <row r="67">
      <c r="A67" s="2" t="n">
        <v>66</v>
      </c>
      <c r="B67" s="2" t="inlineStr">
        <is>
          <t>Performance &amp; delivery</t>
        </is>
      </c>
      <c r="C67" s="8" t="inlineStr">
        <is>
          <t>Low</t>
        </is>
      </c>
      <c r="D67" s="4" t="inlineStr">
        <is>
          <t>backdrop-filter blur on the sticky header and chip bar can cost scroll performance on low-end devices.</t>
        </is>
      </c>
      <c r="E67" s="10" t="inlineStr">
        <is>
          <t>Open — minor</t>
        </is>
      </c>
      <c r="F67" s="4" t="inlineStr">
        <is>
          <t>Acceptable now; replace with a solid background if field testing shows jank.</t>
        </is>
      </c>
    </row>
    <row r="68">
      <c r="A68" s="2" t="n">
        <v>67</v>
      </c>
      <c r="B68" s="2" t="inlineStr">
        <is>
          <t>Performance &amp; delivery</t>
        </is>
      </c>
      <c r="C68" s="8" t="inlineStr">
        <is>
          <t>Low</t>
        </is>
      </c>
      <c r="D68" s="4" t="inlineStr">
        <is>
          <t>Global smooth scrolling was not disabled for reduced-motion users.</t>
        </is>
      </c>
      <c r="E68" s="5" t="inlineStr">
        <is>
          <t>Fixed — V2.4</t>
        </is>
      </c>
      <c r="F68" s="4" t="inlineStr">
        <is>
          <t>scroll-behavior:auto under prefers-reduced-motion.</t>
        </is>
      </c>
    </row>
    <row r="69">
      <c r="A69" s="2" t="n">
        <v>68</v>
      </c>
      <c r="B69" s="2" t="inlineStr">
        <is>
          <t>Performance &amp; delivery</t>
        </is>
      </c>
      <c r="C69" s="8" t="inlineStr">
        <is>
          <t>Low</t>
        </is>
      </c>
      <c r="D69" s="4" t="inlineStr">
        <is>
          <t>No caching guidance for deployment (HTML vs. hashed static assets).</t>
        </is>
      </c>
      <c r="E69" s="11" t="inlineStr">
        <is>
          <t>Recommended next</t>
        </is>
      </c>
      <c r="F69" s="4" t="inlineStr">
        <is>
          <t>Document alongside the site.css/logo extraction at launch.</t>
        </is>
      </c>
    </row>
    <row r="70">
      <c r="A70" s="2" t="n">
        <v>69</v>
      </c>
      <c r="B70" s="2" t="inlineStr">
        <is>
          <t>Accessibility</t>
        </is>
      </c>
      <c r="C70" s="3" t="inlineStr">
        <is>
          <t>Critical</t>
        </is>
      </c>
      <c r="D70" s="4" t="inlineStr">
        <is>
          <t>Reduced-motion users saw an EMPTY hero stack: items rest at opacity:0 and the reveal animation was globally disabled, so the nine-discipline panel never appeared.</t>
        </is>
      </c>
      <c r="E70" s="5" t="inlineStr">
        <is>
          <t>Fixed — V2.1</t>
        </is>
      </c>
      <c r="F70" s="4" t="inlineStr">
        <is>
          <t>Under prefers-reduced-motion the stack renders fully visible with no animation.</t>
        </is>
      </c>
    </row>
    <row r="71">
      <c r="A71" s="2" t="n">
        <v>70</v>
      </c>
      <c r="B71" s="2" t="inlineStr">
        <is>
          <t>Accessibility</t>
        </is>
      </c>
      <c r="C71" s="7" t="inlineStr">
        <is>
          <t>Medium</t>
        </is>
      </c>
      <c r="D71" s="4" t="inlineStr">
        <is>
          <t>Toast notifications ('added to your request') were never announced to screen readers.</t>
        </is>
      </c>
      <c r="E71" s="5" t="inlineStr">
        <is>
          <t>Fixed — V2.2</t>
        </is>
      </c>
      <c r="F71" s="4" t="inlineStr">
        <is>
          <t>role='status' live region.</t>
        </is>
      </c>
    </row>
    <row r="72">
      <c r="A72" s="2" t="n">
        <v>71</v>
      </c>
      <c r="B72" s="2" t="inlineStr">
        <is>
          <t>Accessibility</t>
        </is>
      </c>
      <c r="C72" s="8" t="inlineStr">
        <is>
          <t>Low</t>
        </is>
      </c>
      <c r="D72" s="4" t="inlineStr">
        <is>
          <t>The result count did not announce filter changes.</t>
        </is>
      </c>
      <c r="E72" s="5" t="inlineStr">
        <is>
          <t>Fixed — V2.2</t>
        </is>
      </c>
      <c r="F72" s="4" t="inlineStr">
        <is>
          <t>aria-live='polite' on the count.</t>
        </is>
      </c>
    </row>
    <row r="73">
      <c r="A73" s="2" t="n">
        <v>72</v>
      </c>
      <c r="B73" s="2" t="inlineStr">
        <is>
          <t>Accessibility</t>
        </is>
      </c>
      <c r="C73" s="8" t="inlineStr">
        <is>
          <t>Low</t>
        </is>
      </c>
      <c r="D73" s="4" t="inlineStr">
        <is>
          <t>The mobile Filters toggle had no aria-expanded/aria-controls.</t>
        </is>
      </c>
      <c r="E73" s="5" t="inlineStr">
        <is>
          <t>Fixed — V2.2</t>
        </is>
      </c>
      <c r="F73" s="4" t="inlineStr">
        <is>
          <t>Both added and kept in sync.</t>
        </is>
      </c>
    </row>
    <row r="74">
      <c r="A74" s="2" t="n">
        <v>73</v>
      </c>
      <c r="B74" s="2" t="inlineStr">
        <is>
          <t>Accessibility</t>
        </is>
      </c>
      <c r="C74" s="7" t="inlineStr">
        <is>
          <t>Medium</t>
        </is>
      </c>
      <c r="D74" s="4" t="inlineStr">
        <is>
          <t>The burger button lacked aria-controls, and the menu closed neither on Escape nor after choosing a link.</t>
        </is>
      </c>
      <c r="E74" s="5" t="inlineStr">
        <is>
          <t>Fixed — V2.2</t>
        </is>
      </c>
      <c r="F74" s="4" t="inlineStr">
        <is>
          <t>aria-controls; Escape closes; tapping a link closes.</t>
        </is>
      </c>
    </row>
    <row r="75">
      <c r="A75" s="2" t="n">
        <v>74</v>
      </c>
      <c r="B75" s="2" t="inlineStr">
        <is>
          <t>Accessibility</t>
        </is>
      </c>
      <c r="C75" s="7" t="inlineStr">
        <is>
          <t>Medium</t>
        </is>
      </c>
      <c r="D75" s="4" t="inlineStr">
        <is>
          <t>Opening the mobile menu then widening the window left broken menu styling on desktop (inline styles never cleared).</t>
        </is>
      </c>
      <c r="E75" s="5" t="inlineStr">
        <is>
          <t>Fixed — V2.2</t>
        </is>
      </c>
      <c r="F75" s="4" t="inlineStr">
        <is>
          <t>Class-based menu + matchMedia listener resets state at the breakpoint.</t>
        </is>
      </c>
    </row>
    <row r="76">
      <c r="A76" s="2" t="n">
        <v>75</v>
      </c>
      <c r="B76" s="2" t="inlineStr">
        <is>
          <t>Accessibility</t>
        </is>
      </c>
      <c r="C76" s="7" t="inlineStr">
        <is>
          <t>Medium</t>
        </is>
      </c>
      <c r="D76" s="4" t="inlineStr">
        <is>
          <t>Anchor jumps (footer/services links) buried section headings under the sticky header and chip bar.</t>
        </is>
      </c>
      <c r="E76" s="5" t="inlineStr">
        <is>
          <t>Fixed — V2.2</t>
        </is>
      </c>
      <c r="F76" s="4" t="inlineStr">
        <is>
          <t>scroll-margin-top on jump targets clears both bars.</t>
        </is>
      </c>
    </row>
    <row r="77">
      <c r="A77" s="2" t="n">
        <v>76</v>
      </c>
      <c r="B77" s="2" t="inlineStr">
        <is>
          <t>Accessibility</t>
        </is>
      </c>
      <c r="C77" s="8" t="inlineStr">
        <is>
          <t>Low</t>
        </is>
      </c>
      <c r="D77" s="4" t="inlineStr">
        <is>
          <t>The facet '+N more' expander had no aria-expanded state.</t>
        </is>
      </c>
      <c r="E77" s="5" t="inlineStr">
        <is>
          <t>Fixed — V2.4</t>
        </is>
      </c>
      <c r="F77" s="4" t="inlineStr">
        <is>
          <t>aria-expanded added.</t>
        </is>
      </c>
    </row>
    <row r="78">
      <c r="A78" s="2" t="n">
        <v>77</v>
      </c>
      <c r="B78" s="2" t="inlineStr">
        <is>
          <t>Design</t>
        </is>
      </c>
      <c r="C78" s="6" t="inlineStr">
        <is>
          <t>High</t>
        </is>
      </c>
      <c r="D78" s="4" t="inlineStr">
        <is>
          <t>Partially-filled card grid rows showed large grey 'hole' cells (GRMS row, Background music, Interactive walls, Master clock...) that read as broken placeholders — visible on every visit to Services.</t>
        </is>
      </c>
      <c r="E78" s="5" t="inlineStr">
        <is>
          <t>Fixed — V2.2</t>
        </is>
      </c>
      <c r="F78" s="4" t="inlineStr">
        <is>
          <t>Grids rebuilt with per-cell borders instead of the 1px-gap-over-dark trick; partial rows now end cleanly in white. Applied to disciplines, services, values and partners grids.</t>
        </is>
      </c>
    </row>
    <row r="79">
      <c r="A79" s="2" t="n">
        <v>78</v>
      </c>
      <c r="B79" s="2" t="inlineStr">
        <is>
          <t>Design</t>
        </is>
      </c>
      <c r="C79" s="7" t="inlineStr">
        <is>
          <t>Medium</t>
        </is>
      </c>
      <c r="D79" s="4" t="inlineStr">
        <is>
          <t>Partners grid collapsed 7 -&gt; 2 columns at 1080px (a 7-row tower of names on tablets) and 1 column x 14 rows on phones.</t>
        </is>
      </c>
      <c r="E79" s="5" t="inlineStr">
        <is>
          <t>Fixed — V2.2</t>
        </is>
      </c>
      <c r="F79" s="4" t="inlineStr">
        <is>
          <t>4 columns on tablet, 2 on phones — always full rows.</t>
        </is>
      </c>
    </row>
    <row r="80">
      <c r="A80" s="2" t="n">
        <v>79</v>
      </c>
      <c r="B80" s="2" t="inlineStr">
        <is>
          <t>Design</t>
        </is>
      </c>
      <c r="C80" s="7" t="inlineStr">
        <is>
          <t>Medium</t>
        </is>
      </c>
      <c r="D80" s="4" t="inlineStr">
        <is>
          <t>Mobile menu was unpolished: no shadow or dividers, the burger icon never became a close icon, and the primary CTA vanished on mobile entirely.</t>
        </is>
      </c>
      <c r="E80" s="5" t="inlineStr">
        <is>
          <t>Fixed — V2.2</t>
        </is>
      </c>
      <c r="F80" s="4" t="inlineStr">
        <is>
          <t>Slide-down panel with dividers and shadow, burger swaps to X, full-width 'Request a consultation' inside the menu.</t>
        </is>
      </c>
    </row>
    <row r="81">
      <c r="A81" s="2" t="n">
        <v>80</v>
      </c>
      <c r="B81" s="2" t="inlineStr">
        <is>
          <t>Design</t>
        </is>
      </c>
      <c r="C81" s="6" t="inlineStr">
        <is>
          <t>High</t>
        </is>
      </c>
      <c r="D81" s="4" t="inlineStr">
        <is>
          <t>The contact map only ever showed Riyadh — the Dubai and Kozhikode offices had no map view at all.</t>
        </is>
      </c>
      <c r="E81" s="5" t="inlineStr">
        <is>
          <t>Fixed — V2.2</t>
        </is>
      </c>
      <c r="F81" s="4" t="inlineStr">
        <is>
          <t>Riyadh/Dubai/Kozhikode switcher above the map; before consent it retargets the facade, after consent it swaps the embed. Caption and Directions follow.</t>
        </is>
      </c>
    </row>
    <row r="82">
      <c r="A82" s="2" t="n">
        <v>81</v>
      </c>
      <c r="B82" s="2" t="inlineStr">
        <is>
          <t>Design</t>
        </is>
      </c>
      <c r="C82" s="8" t="inlineStr">
        <is>
          <t>Low</t>
        </is>
      </c>
      <c r="D82" s="4" t="inlineStr">
        <is>
          <t>Footer blurb was inline-styled with raw hex values, off the token system.</t>
        </is>
      </c>
      <c r="E82" s="5" t="inlineStr">
        <is>
          <t>Fixed — V2.2</t>
        </is>
      </c>
      <c r="F82" s="4" t="inlineStr">
        <is>
          <t>.ftr-blurb class in the stylesheet.</t>
        </is>
      </c>
    </row>
    <row r="83">
      <c r="A83" s="2" t="n">
        <v>82</v>
      </c>
      <c r="B83" s="2" t="inlineStr">
        <is>
          <t>Design</t>
        </is>
      </c>
      <c r="C83" s="8" t="inlineStr">
        <is>
          <t>Low</t>
        </is>
      </c>
      <c r="D83" s="4" t="inlineStr">
        <is>
          <t>Services chips gave no feedback about which discipline was active.</t>
        </is>
      </c>
      <c r="E83" s="5" t="inlineStr">
        <is>
          <t>Fixed — V2.2</t>
        </is>
      </c>
      <c r="F83" s="4" t="inlineStr">
        <is>
          <t>Active state follows clicks.</t>
        </is>
      </c>
    </row>
    <row r="84">
      <c r="A84" s="2" t="n">
        <v>83</v>
      </c>
      <c r="B84" s="2" t="inlineStr">
        <is>
          <t>Design</t>
        </is>
      </c>
      <c r="C84" s="7" t="inlineStr">
        <is>
          <t>Medium</t>
        </is>
      </c>
      <c r="D84" s="4" t="inlineStr">
        <is>
          <t>No print stylesheet — procurement people print pages; chrome, map and drawers printed along with content.</t>
        </is>
      </c>
      <c r="E84" s="5" t="inlineStr">
        <is>
          <t>Fixed — V2.2</t>
        </is>
      </c>
      <c r="F84" s="4" t="inlineStr">
        <is>
          <t>@media print hides navigation/footer/map/drawers, flattens colors for paper.</t>
        </is>
      </c>
    </row>
    <row r="85">
      <c r="A85" s="2" t="n">
        <v>84</v>
      </c>
      <c r="B85" s="2" t="inlineStr">
        <is>
          <t>Design</t>
        </is>
      </c>
      <c r="C85" s="7" t="inlineStr">
        <is>
          <t>Medium</t>
        </is>
      </c>
      <c r="D85" s="4" t="inlineStr">
        <is>
          <t>Glyph icons at 46px float sparsely in 132px thumbnail cells — placeholder look until real photos.</t>
        </is>
      </c>
      <c r="E85" s="5" t="inlineStr">
        <is>
          <t>Fixed — V2.3 / client photos</t>
        </is>
      </c>
      <c r="F85" s="4" t="inlineStr">
        <is>
          <t>Photo pipeline shipped: drop assets/products/&lt;sku&gt;.jpg and cards, rows and drawer show the photo (icon remains the fallback). Real photography is on the client list.</t>
        </is>
      </c>
    </row>
    <row r="86">
      <c r="A86" s="2" t="n">
        <v>85</v>
      </c>
      <c r="B86" s="2" t="inlineStr">
        <is>
          <t>Design</t>
        </is>
      </c>
      <c r="C86" s="8" t="inlineStr">
        <is>
          <t>Low</t>
        </is>
      </c>
      <c r="D86" s="4" t="inlineStr">
        <is>
          <t>The company story cites opening Riyadh in 2010; the timeline jumps 2007 -&gt; 2013 and omits it.</t>
        </is>
      </c>
      <c r="E86" s="10" t="inlineStr">
        <is>
          <t>Open — minor</t>
        </is>
      </c>
      <c r="F86" s="4" t="inlineStr">
        <is>
          <t>Editorial choice — add a 2010 milestone if the client wants the timeline complete.</t>
        </is>
      </c>
    </row>
    <row r="87">
      <c r="A87" s="2" t="n">
        <v>86</v>
      </c>
      <c r="B87" s="2" t="inlineStr">
        <is>
          <t>Design</t>
        </is>
      </c>
      <c r="C87" s="8" t="inlineStr">
        <is>
          <t>Low</t>
        </is>
      </c>
      <c r="D87" s="4" t="inlineStr">
        <is>
          <t>The insights page is three cards and a CTA — thin as a destination page until real articles exist.</t>
        </is>
      </c>
      <c r="E87" s="10" t="inlineStr">
        <is>
          <t>Open — minor</t>
        </is>
      </c>
      <c r="F87" s="4" t="inlineStr">
        <is>
          <t>Grows with the blog-post template; the three planned notes are real topics from the old site.</t>
        </is>
      </c>
    </row>
    <row r="88">
      <c r="A88" s="2" t="n">
        <v>87</v>
      </c>
      <c r="B88" s="2" t="inlineStr">
        <is>
          <t>Design</t>
        </is>
      </c>
      <c r="C88" s="7" t="inlineStr">
        <is>
          <t>Medium</t>
        </is>
      </c>
      <c r="D88" s="4" t="inlineStr">
        <is>
          <t>The CTA band's second button was the dead PDF; the slot now points at the catalogue.</t>
        </is>
      </c>
      <c r="E88" s="5" t="inlineStr">
        <is>
          <t>Fixed — V2.2</t>
        </is>
      </c>
      <c r="F88" s="4" t="inlineStr">
        <is>
          <t>Revisit when the company-profile PDF arrives (TODO in build.py).</t>
        </is>
      </c>
    </row>
    <row r="89">
      <c r="A89" s="2" t="n">
        <v>88</v>
      </c>
      <c r="B89" s="2" t="inlineStr">
        <is>
          <t>Design</t>
        </is>
      </c>
      <c r="C89" s="8" t="inlineStr">
        <is>
          <t>Low</t>
        </is>
      </c>
      <c r="D89" s="4" t="inlineStr">
        <is>
          <t>List view rows get tight on narrow phones (thumb + text + add button in one row).</t>
        </is>
      </c>
      <c r="E89" s="10" t="inlineStr">
        <is>
          <t>Open — minor</t>
        </is>
      </c>
      <c r="F89" s="4" t="inlineStr">
        <is>
          <t>Grid view is the default and works well on mobile; acceptable.</t>
        </is>
      </c>
    </row>
    <row r="90">
      <c r="A90" s="2" t="n">
        <v>89</v>
      </c>
      <c r="B90" s="2" t="inlineStr">
        <is>
          <t>Content — client input</t>
        </is>
      </c>
      <c r="C90" s="3" t="inlineStr">
        <is>
          <t>Blocker</t>
        </is>
      </c>
      <c r="D90" s="4" t="inlineStr">
        <is>
          <t>CR and VAT numbers in the footer are dummy digits — legally required for a Saudi commercial site.</t>
        </is>
      </c>
      <c r="E90" s="9" t="inlineStr">
        <is>
          <t>Blocker — client input</t>
        </is>
      </c>
      <c r="F90" s="4" t="inlineStr">
        <is>
          <t>content.py f_legal, both languages; deliberately obvious dummies until real numbers arrive.</t>
        </is>
      </c>
    </row>
    <row r="91">
      <c r="A91" s="2" t="n">
        <v>90</v>
      </c>
      <c r="B91" s="2" t="inlineStr">
        <is>
          <t>Content — client input</t>
        </is>
      </c>
      <c r="C91" s="3" t="inlineStr">
        <is>
          <t>Blocker</t>
        </is>
      </c>
      <c r="D91" s="4" t="inlineStr">
        <is>
          <t>Client consent to name Arab Open University, Prince Sattam bin Abdulaziz University and TAQEEM — and to publish project photos.</t>
        </is>
      </c>
      <c r="E91" s="9" t="inlineStr">
        <is>
          <t>Blocker — client input</t>
        </is>
      </c>
      <c r="F91" s="4" t="inlineStr">
        <is>
          <t>Confirm each before launch.</t>
        </is>
      </c>
    </row>
    <row r="92">
      <c r="A92" s="2" t="n">
        <v>91</v>
      </c>
      <c r="B92" s="2" t="inlineStr">
        <is>
          <t>Content — client input</t>
        </is>
      </c>
      <c r="C92" s="3" t="inlineStr">
        <is>
          <t>Blocker</t>
        </is>
      </c>
      <c r="D92" s="4" t="inlineStr">
        <is>
          <t>'Authorised to install' is a strong claim — confirm authorisation is current for all 14 manufacturers, or soften.</t>
        </is>
      </c>
      <c r="E92" s="9" t="inlineStr">
        <is>
          <t>Blocker — client input</t>
        </is>
      </c>
      <c r="F92" s="4" t="inlineStr">
        <is>
          <t>One list in content.py PARTNERS.</t>
        </is>
      </c>
    </row>
    <row r="93">
      <c r="A93" s="2" t="n">
        <v>92</v>
      </c>
      <c r="B93" s="2" t="inlineStr">
        <is>
          <t>Content — client input</t>
        </is>
      </c>
      <c r="C93" s="3" t="inlineStr">
        <is>
          <t>Blocker</t>
        </is>
      </c>
      <c r="D93" s="4" t="inlineStr">
        <is>
          <t>Dubai and Kozhikode map pins resolve by address query and are unverified. (Riyadh's coordinates verified: the embed resolves to the Dabbab St / Al Murabba area.)</t>
        </is>
      </c>
      <c r="E93" s="9" t="inlineStr">
        <is>
          <t>Blocker — client input</t>
        </is>
      </c>
      <c r="F93" s="4" t="inlineStr">
        <is>
          <t>Send coordinates for both; one-line change in OFFICE_GEO.</t>
        </is>
      </c>
    </row>
    <row r="94">
      <c r="A94" s="2" t="n">
        <v>93</v>
      </c>
      <c r="B94" s="2" t="inlineStr">
        <is>
          <t>Content — client input</t>
        </is>
      </c>
      <c r="C94" s="6" t="inlineStr">
        <is>
          <t>High</t>
        </is>
      </c>
      <c r="D94" s="4" t="inlineStr">
        <is>
          <t>No real installation photography (stock is banned by design) — the projects page carries the biggest upside from real photos of the four named projects.</t>
        </is>
      </c>
      <c r="E94" s="9" t="inlineStr">
        <is>
          <t>Blocker — client input</t>
        </is>
      </c>
      <c r="F94" s="4" t="inlineStr">
        <is>
          <t>Photo pipeline is ready for products; project photography still needed.</t>
        </is>
      </c>
    </row>
    <row r="95">
      <c r="A95" s="2" t="n">
        <v>94</v>
      </c>
      <c r="B95" s="2" t="inlineStr">
        <is>
          <t>Content — client input</t>
        </is>
      </c>
      <c r="C95" s="7" t="inlineStr">
        <is>
          <t>Medium</t>
        </is>
      </c>
      <c r="D95" s="4" t="inlineStr">
        <is>
          <t>Standards references (EN 54-16, EN 54-24, ISO/IEC 11801, TIA-568) describe disciplines, not held certifications — confirm wording matches the compliance position.</t>
        </is>
      </c>
      <c r="E95" s="9" t="inlineStr">
        <is>
          <t>Blocker — client input</t>
        </is>
      </c>
      <c r="F95" s="4" t="inlineStr">
        <is>
          <t>Review the standards strings in content.py disc entries.</t>
        </is>
      </c>
    </row>
    <row r="96">
      <c r="A96" s="2" t="n">
        <v>95</v>
      </c>
      <c r="B96" s="2" t="inlineStr">
        <is>
          <t>Missing for launch</t>
        </is>
      </c>
      <c r="C96" s="3" t="inlineStr">
        <is>
          <t>Critical</t>
        </is>
      </c>
      <c r="D96" s="4" t="inlineStr">
        <is>
          <t>The 38 service detail pages do not exist — the site's largest SEO and tender-discovery surface.</t>
        </is>
      </c>
      <c r="E96" s="11" t="inlineStr">
        <is>
          <t>Recommended next</t>
        </is>
      </c>
      <c r="F96" s="4" t="inlineStr">
        <is>
          <t>Highest-value next build. Copy should come from the RESEARCH-PROMPT browsing session output; slugs already mapped in content.SERVICE_SLUGS.</t>
        </is>
      </c>
    </row>
    <row r="97">
      <c r="A97" s="2" t="n">
        <v>96</v>
      </c>
      <c r="B97" s="2" t="inlineStr">
        <is>
          <t>Missing for launch</t>
        </is>
      </c>
      <c r="C97" s="6" t="inlineStr">
        <is>
          <t>High</t>
        </is>
      </c>
      <c r="D97" s="4" t="inlineStr">
        <is>
          <t>The RFQ back end does not exist — POST /api/rfq receives nothing; submissions live as email/demo payload only.</t>
        </is>
      </c>
      <c r="E97" s="11" t="inlineStr">
        <is>
          <t>Recommended next</t>
        </is>
      </c>
      <c r="F97" s="4" t="inlineStr">
        <is>
          <t>Payload schema is documented and stable; backlog defines tables, importer, admin.</t>
        </is>
      </c>
    </row>
    <row r="98">
      <c r="A98" s="2" t="n">
        <v>97</v>
      </c>
      <c r="B98" s="2" t="inlineStr">
        <is>
          <t>Missing for launch</t>
        </is>
      </c>
      <c r="C98" s="6" t="inlineStr">
        <is>
          <t>High</t>
        </is>
      </c>
      <c r="D98" s="4" t="inlineStr">
        <is>
          <t>Excel bulk import for 1,000+ SKUs is not built (manage.py covers day-to-day changes only).</t>
        </is>
      </c>
      <c r="E98" s="11" t="inlineStr">
        <is>
          <t>Recommended next</t>
        </is>
      </c>
      <c r="F98" s="4" t="inlineStr">
        <is>
          <t>Template data/datacore-product-import-template.xlsx defines the schema; import with staging + per-row validation per backlog.</t>
        </is>
      </c>
    </row>
    <row r="99">
      <c r="A99" s="2" t="n">
        <v>98</v>
      </c>
      <c r="B99" s="2" t="inlineStr">
        <is>
          <t>Missing for launch</t>
        </is>
      </c>
      <c r="C99" s="7" t="inlineStr">
        <is>
          <t>Medium</t>
        </is>
      </c>
      <c r="D99" s="4" t="inlineStr">
        <is>
          <t>Project detail, blog post and careers templates are missing.</t>
        </is>
      </c>
      <c r="E99" s="11" t="inlineStr">
        <is>
          <t>Recommended next</t>
        </is>
      </c>
      <c r="F99" s="4" t="inlineStr">
        <is>
          <t>Backlog order: service detail, project detail, blog, careers.</t>
        </is>
      </c>
    </row>
    <row r="100">
      <c r="A100" s="2" t="n">
        <v>99</v>
      </c>
      <c r="B100" s="2" t="inlineStr">
        <is>
          <t>Missing for launch</t>
        </is>
      </c>
      <c r="C100" s="7" t="inlineStr">
        <is>
          <t>Medium</t>
        </is>
      </c>
      <c r="D100" s="4" t="inlineStr">
        <is>
          <t>No analytics baseline — without four weeks of before-data, the rebuild's effect cannot be demonstrated.</t>
        </is>
      </c>
      <c r="E100" s="11" t="inlineStr">
        <is>
          <t>Recommended next</t>
        </is>
      </c>
      <c r="F100" s="4" t="inlineStr">
        <is>
          <t>Consent-gated analytics only (site rule: nothing third-party pre-consent).</t>
        </is>
      </c>
    </row>
    <row r="101">
      <c r="A101" s="2" t="n">
        <v>100</v>
      </c>
      <c r="B101" s="2" t="inlineStr">
        <is>
          <t>Missing for launch</t>
        </is>
      </c>
      <c r="C101" s="7" t="inlineStr">
        <is>
          <t>Medium</t>
        </is>
      </c>
      <c r="D101" s="4" t="inlineStr">
        <is>
          <t>Zero-result catalogue searches are not logged — that list is the client's stocking gap.</t>
        </is>
      </c>
      <c r="E101" s="11" t="inlineStr">
        <is>
          <t>Recommended next</t>
        </is>
      </c>
      <c r="F101" s="4" t="inlineStr">
        <is>
          <t>Needs the back end; capture from day one.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6" customWidth="1" min="3" max="3"/>
  </cols>
  <sheetData>
    <row r="1">
      <c r="A1" s="12" t="inlineStr">
        <is>
          <t>Datacore website V2 — problem register</t>
        </is>
      </c>
    </row>
    <row r="2">
      <c r="A2" s="13" t="inlineStr">
        <is>
          <t>100 problems identified in the V2.0 baseline (files/datacore-web-repo.zip), audited and worked 2 September 2026.</t>
        </is>
      </c>
    </row>
    <row r="3" ht="28" customHeight="1">
      <c r="A3" s="14" t="inlineStr">
        <is>
          <t>Version lineage: V2.0 baseline -&gt; V2.1 build fixes -&gt; V2.2 links/a11y/i18n/SEO/design -&gt; V2.3 catalogue manager + photos -&gt; V2.4 polish. Each version is a git commit and a zip in backups/.</t>
        </is>
      </c>
    </row>
    <row r="5">
      <c r="A5" s="15" t="inlineStr">
        <is>
          <t>Status</t>
        </is>
      </c>
      <c r="B5" s="15" t="inlineStr">
        <is>
          <t>Count</t>
        </is>
      </c>
      <c r="C5" s="15" t="inlineStr">
        <is>
          <t>Meaning</t>
        </is>
      </c>
    </row>
    <row r="6" ht="28" customHeight="1">
      <c r="A6" s="16" t="inlineStr">
        <is>
          <t>Fixed in this overhaul (V2.1–V2.4)</t>
        </is>
      </c>
      <c r="B6" s="17">
        <f>COUNTIF(Register!E:E,"Fixed*")</f>
        <v/>
      </c>
      <c r="C6" s="18" t="inlineStr">
        <is>
          <t>Verified by check.py (20 pages: structure, links, lang/dir, JS syntax, RTL, contrast) and in-browser testing, EN + AR, desktop + mobile.</t>
        </is>
      </c>
    </row>
    <row r="7" ht="28" customHeight="1">
      <c r="A7" s="19" t="inlineStr">
        <is>
          <t>Blocker — client input</t>
        </is>
      </c>
      <c r="B7" s="17">
        <f>COUNTIF(Register!E:E,"Blocker*")</f>
        <v/>
      </c>
      <c r="C7" s="18" t="inlineStr">
        <is>
          <t>Facts only the client can supply: CR/VAT, Arabic review, consents, manufacturer list, map pins, photography, WhatsApp number, standards wording.</t>
        </is>
      </c>
    </row>
    <row r="8" ht="28" customHeight="1">
      <c r="A8" s="20" t="inlineStr">
        <is>
          <t>Recommended next</t>
        </is>
      </c>
      <c r="B8" s="17">
        <f>COUNTIF(Register!E:E,"Recommended*")</f>
        <v/>
      </c>
      <c r="C8" s="18" t="inlineStr">
        <is>
          <t>Build work with a clear plan already on the backlog: 38 service pages, RFQ back end, bulk import, asset extraction, self-hosted fonts, analytics.</t>
        </is>
      </c>
    </row>
    <row r="9" ht="28" customHeight="1">
      <c r="A9" s="21" t="inlineStr">
        <is>
          <t>Open — minor</t>
        </is>
      </c>
      <c r="B9" s="17">
        <f>COUNTIF(Register!E:E,"Open*")</f>
        <v/>
      </c>
      <c r="C9" s="18" t="inlineStr">
        <is>
          <t>Small items deliberately left: editorial choices and acceptable trade-offs, documented so they are decisions rather than accidents.</t>
        </is>
      </c>
    </row>
    <row r="10">
      <c r="A10" s="22" t="inlineStr">
        <is>
          <t>Total</t>
        </is>
      </c>
      <c r="B10" s="22">
        <f>SUM(B6:B9)</f>
        <v/>
      </c>
    </row>
    <row r="12">
      <c r="A12" s="15" t="inlineStr">
        <is>
          <t>By severity</t>
        </is>
      </c>
    </row>
    <row r="13">
      <c r="A13" s="23" t="inlineStr">
        <is>
          <t>Critical</t>
        </is>
      </c>
      <c r="B13" s="17">
        <f>COUNTIF(Register!C:C,"Critical")</f>
        <v/>
      </c>
    </row>
    <row r="14">
      <c r="A14" s="24" t="inlineStr">
        <is>
          <t>High</t>
        </is>
      </c>
      <c r="B14" s="17">
        <f>COUNTIF(Register!C:C,"High")</f>
        <v/>
      </c>
    </row>
    <row r="15">
      <c r="A15" s="25" t="inlineStr">
        <is>
          <t>Medium</t>
        </is>
      </c>
      <c r="B15" s="17">
        <f>COUNTIF(Register!C:C,"Medium")</f>
        <v/>
      </c>
    </row>
    <row r="16">
      <c r="A16" s="26" t="inlineStr">
        <is>
          <t>Low</t>
        </is>
      </c>
      <c r="B16" s="17">
        <f>COUNTIF(Register!C:C,"Low")</f>
        <v/>
      </c>
    </row>
    <row r="17">
      <c r="A17" s="23" t="inlineStr">
        <is>
          <t>Blocker</t>
        </is>
      </c>
      <c r="B17" s="17">
        <f>COUNTIF(Register!C:C,"Blocker")</f>
        <v/>
      </c>
    </row>
    <row r="19">
      <c r="A19" s="27" t="inlineStr">
        <is>
          <t>Legend: the Register sheet is filterable (row 1). Status colours — green fixed, amber needs the client, blue recommended build work, grey minor/open.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2026-09-02T11:05:15Z</dcterms:created>
  <dcterms:modified xmlns:dcterms="http://purl.org/dc/terms/" xmlns:xsi="http://www.w3.org/2001/XMLSchema-instance" xsi:type="dcterms:W3CDTF">2026-09-02T11:05:15Z</dcterms:modified>
</cp:coreProperties>
</file>